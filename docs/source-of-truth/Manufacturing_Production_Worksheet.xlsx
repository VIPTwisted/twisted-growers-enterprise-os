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Sheet" sheetId="1" r:id="rId5"/>
    <sheet state="visible" name="Rosin PricingYield" sheetId="2" r:id="rId6"/>
    <sheet state="visible" name="Volatile IN_OUT" sheetId="3" r:id="rId7"/>
    <sheet state="visible" name="VAPE " sheetId="4" r:id="rId8"/>
    <sheet state="visible" name="H2O IN_OUT" sheetId="5" r:id="rId9"/>
    <sheet state="visible" name="PREROLL IN_OUT" sheetId="6" r:id="rId10"/>
    <sheet state="visible" name="PreGround ()" sheetId="7" r:id="rId11"/>
    <sheet state="visible" name="Sku list " sheetId="8" r:id="rId12"/>
    <sheet state="hidden" name="Sheet1" sheetId="9" r:id="rId13"/>
  </sheets>
  <definedNames/>
  <calcPr/>
</workbook>
</file>

<file path=xl/sharedStrings.xml><?xml version="1.0" encoding="utf-8"?>
<sst xmlns="http://schemas.openxmlformats.org/spreadsheetml/2006/main" count="1267" uniqueCount="612">
  <si>
    <t xml:space="preserve"> </t>
  </si>
  <si>
    <t>Single Batch Figures (1batch = 15lbs)</t>
  </si>
  <si>
    <t>Vape Production (Liquid Diamonds)</t>
  </si>
  <si>
    <t>PostProcessing Costs (Diamonds)</t>
  </si>
  <si>
    <t xml:space="preserve">Costs </t>
  </si>
  <si>
    <t xml:space="preserve">Luna Throughput </t>
  </si>
  <si>
    <t>Low Yield Scenario 2.8%</t>
  </si>
  <si>
    <t>lbs per run</t>
  </si>
  <si>
    <t>Totals Calculations (1.0g)</t>
  </si>
  <si>
    <t>Badders and Liquid Diamond Extracts (Hydrocarbon)</t>
  </si>
  <si>
    <t>Run Size (g)</t>
  </si>
  <si>
    <t>Single Batch Fresh Frozen (1batch = 60lbs)</t>
  </si>
  <si>
    <t>Monthly</t>
  </si>
  <si>
    <t xml:space="preserve">Liquid Diamond Vaporizers </t>
  </si>
  <si>
    <t>Totals Calculations (0.5g)</t>
  </si>
  <si>
    <t>Rosin (Solventless)</t>
  </si>
  <si>
    <t>Cost of Input Oil</t>
  </si>
  <si>
    <t>PreRolls (Branded)</t>
  </si>
  <si>
    <t>Per Unit</t>
  </si>
  <si>
    <t>Live Hash Rosin COGs</t>
  </si>
  <si>
    <t>Input Oil (From Volatile wkst)</t>
  </si>
  <si>
    <t>Trim Cost (can edit)</t>
  </si>
  <si>
    <t xml:space="preserve">Moisture Correction Price Calculator </t>
  </si>
  <si>
    <t>Liquid Diamonds Vape Cost Summary</t>
  </si>
  <si>
    <t>Hours Per Run</t>
  </si>
  <si>
    <t>Cost Percents (1 g raw preroll)</t>
  </si>
  <si>
    <t>Figures based on production averages, dry flower equivalent @ $1,200/lb and trim @ $300/lb</t>
  </si>
  <si>
    <t>hour(s)</t>
  </si>
  <si>
    <t>Trim cost (g) @$300/lb</t>
  </si>
  <si>
    <t xml:space="preserve">per gram </t>
  </si>
  <si>
    <t>Required Inputs (Monthly)</t>
  </si>
  <si>
    <t>1.0g</t>
  </si>
  <si>
    <t>Cost Percents (1 g 30% LD Infused preroll)</t>
  </si>
  <si>
    <t>1.0 g Carts</t>
  </si>
  <si>
    <t>2.0g</t>
  </si>
  <si>
    <t xml:space="preserve">Added Costs </t>
  </si>
  <si>
    <t># of operators</t>
  </si>
  <si>
    <t>Oil</t>
  </si>
  <si>
    <t>Cost Percents (1 g 30% M.D Infused preroll)</t>
  </si>
  <si>
    <t>person</t>
  </si>
  <si>
    <t>Batch Cost</t>
  </si>
  <si>
    <t>Target Flower Price (Dry)</t>
  </si>
  <si>
    <t>Cost to Produce Hydrocarbon (Cured Badder)</t>
  </si>
  <si>
    <t>Tech (cost of maturation)</t>
  </si>
  <si>
    <t>WorkDays/week</t>
  </si>
  <si>
    <t>Figures based on production averages and trim @ $300/lb</t>
  </si>
  <si>
    <t>days</t>
  </si>
  <si>
    <t>0.5g</t>
  </si>
  <si>
    <t xml:space="preserve">Extraction Labor </t>
  </si>
  <si>
    <t>Rosin</t>
  </si>
  <si>
    <t>3.5g</t>
  </si>
  <si>
    <t xml:space="preserve">Maturation Time </t>
  </si>
  <si>
    <t xml:space="preserve">Flower @ $1200/lb </t>
  </si>
  <si>
    <t>Days</t>
  </si>
  <si>
    <t>WorkDays/year</t>
  </si>
  <si>
    <t>Terpene- Botanical (50 g bottle)</t>
  </si>
  <si>
    <t>Solvent Cost</t>
  </si>
  <si>
    <t>per gram</t>
  </si>
  <si>
    <t xml:space="preserve">Hardware Filled </t>
  </si>
  <si>
    <t>Crude</t>
  </si>
  <si>
    <t>units</t>
  </si>
  <si>
    <t>Target Trim Price Price (Dry)</t>
  </si>
  <si>
    <t xml:space="preserve">Hardware </t>
  </si>
  <si>
    <t>Hours to Complete</t>
  </si>
  <si>
    <t>Packaging (Raw Inputs)</t>
  </si>
  <si>
    <t>Base Oil</t>
  </si>
  <si>
    <t xml:space="preserve">hours </t>
  </si>
  <si>
    <t>Avg Trim Yield</t>
  </si>
  <si>
    <t>Holidays per Year</t>
  </si>
  <si>
    <t xml:space="preserve">Labor to Fill </t>
  </si>
  <si>
    <t>Processing Labor (badder)</t>
  </si>
  <si>
    <t xml:space="preserve">Terpene- Cannabis </t>
  </si>
  <si>
    <t>Cost Allocated Price Per Lb (Dry)</t>
  </si>
  <si>
    <t>Rolling Materials + Labor $</t>
  </si>
  <si>
    <t xml:space="preserve">Storage </t>
  </si>
  <si>
    <t xml:space="preserve">Hours in workday </t>
  </si>
  <si>
    <t>hours</t>
  </si>
  <si>
    <t>g</t>
  </si>
  <si>
    <t>Processing Labor Diamonds</t>
  </si>
  <si>
    <t>Terps</t>
  </si>
  <si>
    <t>Labor to Package</t>
  </si>
  <si>
    <t>Fresh Frozen Per Lb Price</t>
  </si>
  <si>
    <t>Total Cost</t>
  </si>
  <si>
    <t xml:space="preserve">Compliance Testing </t>
  </si>
  <si>
    <t>Terpenes</t>
  </si>
  <si>
    <t>Runs per day</t>
  </si>
  <si>
    <t xml:space="preserve">Total </t>
  </si>
  <si>
    <t>Rolling Materials + Labor %</t>
  </si>
  <si>
    <t>runs/day</t>
  </si>
  <si>
    <t xml:space="preserve">Tec-Temper </t>
  </si>
  <si>
    <t>Avg Crude Yield % (from table A)</t>
  </si>
  <si>
    <t>Diamond Yield (from crude)</t>
  </si>
  <si>
    <t>flower cost (g)</t>
  </si>
  <si>
    <t xml:space="preserve">Terp Dilution </t>
  </si>
  <si>
    <t xml:space="preserve">Runs per year </t>
  </si>
  <si>
    <t>Packaging Materials $</t>
  </si>
  <si>
    <t>runs/year</t>
  </si>
  <si>
    <t>Temper</t>
  </si>
  <si>
    <t>Crude Oil Yield (g)</t>
  </si>
  <si>
    <t>R/D Testing</t>
  </si>
  <si>
    <t>Solvent (H20) Cost</t>
  </si>
  <si>
    <t>Diamond Yield (from flower)</t>
  </si>
  <si>
    <t>Processing Labor(Dry and Sift)</t>
  </si>
  <si>
    <t>Processing Labor (Rosin Packing)</t>
  </si>
  <si>
    <t xml:space="preserve">Extraction Efficiency </t>
  </si>
  <si>
    <t xml:space="preserve">efficient </t>
  </si>
  <si>
    <t>Packaging Materials %</t>
  </si>
  <si>
    <t>Crude Oil Cost (g)</t>
  </si>
  <si>
    <t xml:space="preserve">Avg Bubble Yield % </t>
  </si>
  <si>
    <t xml:space="preserve">per unit </t>
  </si>
  <si>
    <t>Bubble Hash Yield (g)</t>
  </si>
  <si>
    <t xml:space="preserve">Labor </t>
  </si>
  <si>
    <t xml:space="preserve">Total Diamond Output </t>
  </si>
  <si>
    <t>cost allocation to Bubble Hash</t>
  </si>
  <si>
    <t>Packaging Labor $</t>
  </si>
  <si>
    <t>lbs</t>
  </si>
  <si>
    <t>Flower THC %</t>
  </si>
  <si>
    <t>Labor (Formulation)</t>
  </si>
  <si>
    <t>cannabinoids</t>
  </si>
  <si>
    <t>Avg Yield % to Diamonds (From Oil)</t>
  </si>
  <si>
    <t xml:space="preserve">per gram price </t>
  </si>
  <si>
    <t>Yield To Rosin %</t>
  </si>
  <si>
    <t xml:space="preserve">grams </t>
  </si>
  <si>
    <t>per hour</t>
  </si>
  <si>
    <t>Yield %</t>
  </si>
  <si>
    <t xml:space="preserve">Temper Dilution </t>
  </si>
  <si>
    <t>Rosin Yield (g)</t>
  </si>
  <si>
    <t xml:space="preserve">Packaging </t>
  </si>
  <si>
    <t>Packaging Labor %</t>
  </si>
  <si>
    <t xml:space="preserve">THC Oil </t>
  </si>
  <si>
    <t>Diamond Yield (g)</t>
  </si>
  <si>
    <t xml:space="preserve">cost allocation to Rosin </t>
  </si>
  <si>
    <t>Packaging (Raw Materials)</t>
  </si>
  <si>
    <t xml:space="preserve">Cost Per Gram </t>
  </si>
  <si>
    <t xml:space="preserve">Per Unit Labor </t>
  </si>
  <si>
    <t>per gram cost</t>
  </si>
  <si>
    <t>solvent loss</t>
  </si>
  <si>
    <t>&lt;-- Can Edit</t>
  </si>
  <si>
    <t>Compliance Testing (per 600g of oil)</t>
  </si>
  <si>
    <t>lb/run</t>
  </si>
  <si>
    <t>Cost Allocation to Diamonds</t>
  </si>
  <si>
    <t xml:space="preserve">g </t>
  </si>
  <si>
    <t>Wholesale Biomass (lb)</t>
  </si>
  <si>
    <t>Wholesale Price</t>
  </si>
  <si>
    <t>Total $</t>
  </si>
  <si>
    <t>per lb</t>
  </si>
  <si>
    <t>Labor (Filling)</t>
  </si>
  <si>
    <t>Target Minimum Yield Scenario 3.5%</t>
  </si>
  <si>
    <t>Liquid Diamond Yield (100% oil to diamonds)</t>
  </si>
  <si>
    <t xml:space="preserve">Wholesale Oil </t>
  </si>
  <si>
    <t>Packaging (Provided by Josie)</t>
  </si>
  <si>
    <t xml:space="preserve">Liquid Diamond Yield </t>
  </si>
  <si>
    <t>Conversion Rate</t>
  </si>
  <si>
    <t xml:space="preserve">Total Cost </t>
  </si>
  <si>
    <t>solvent price (lb)</t>
  </si>
  <si>
    <t>lb</t>
  </si>
  <si>
    <t xml:space="preserve">cost allocation to liquid diamonds </t>
  </si>
  <si>
    <t>Projected Revenue</t>
  </si>
  <si>
    <t>Labor (Packaging)</t>
  </si>
  <si>
    <t>Total %</t>
  </si>
  <si>
    <t xml:space="preserve">employee salary </t>
  </si>
  <si>
    <t>Cost Per Unit</t>
  </si>
  <si>
    <t>hour</t>
  </si>
  <si>
    <t>Crude Cost(g)</t>
  </si>
  <si>
    <t xml:space="preserve">Projected Profit </t>
  </si>
  <si>
    <t>Production</t>
  </si>
  <si>
    <t>*Check Value of oil to Production Volume</t>
  </si>
  <si>
    <t>Remaing % Crude</t>
  </si>
  <si>
    <t>Total Cost (-oil)</t>
  </si>
  <si>
    <t>Cost to Converted Oil (per gram)</t>
  </si>
  <si>
    <t xml:space="preserve">Margin </t>
  </si>
  <si>
    <t>Hardware pricing includes a 22.5% charge for tariffs (2/8/2026)</t>
  </si>
  <si>
    <t>Packaging  Costs (Inputs)</t>
  </si>
  <si>
    <t>Remaining Crude (g)</t>
  </si>
  <si>
    <t>PreRolls (UnBranded)(Raw)</t>
  </si>
  <si>
    <t>Glass Jar</t>
  </si>
  <si>
    <t xml:space="preserve">Wholesale Price (.5g) </t>
  </si>
  <si>
    <t>Packaging Costs (Labor)</t>
  </si>
  <si>
    <t>Rate/min</t>
  </si>
  <si>
    <t>Cost</t>
  </si>
  <si>
    <t xml:space="preserve">cost allocation to crude </t>
  </si>
  <si>
    <t>oil remaining</t>
  </si>
  <si>
    <t>Liquid Diamonds to Vape (Daily)</t>
  </si>
  <si>
    <t>Primary Box</t>
  </si>
  <si>
    <t>PreRoll Formulations (B grade)</t>
  </si>
  <si>
    <t>Labor Rate ($/hr)</t>
  </si>
  <si>
    <t>Total Cost                                  (-hardware &amp; oil)</t>
  </si>
  <si>
    <t xml:space="preserve">Flower Wholesale Price (386g) </t>
  </si>
  <si>
    <t xml:space="preserve">Cost Per Gram (F) </t>
  </si>
  <si>
    <t>Cost per Gram (T)</t>
  </si>
  <si>
    <t>Flower Cost w/cone</t>
  </si>
  <si>
    <t xml:space="preserve">% Diamond Allocation </t>
  </si>
  <si>
    <t>Wholesale  Price</t>
  </si>
  <si>
    <t>Roll, Mill, QC Labor</t>
  </si>
  <si>
    <t>% oil to Market</t>
  </si>
  <si>
    <t xml:space="preserve">Packaging Per PreRoll </t>
  </si>
  <si>
    <t xml:space="preserve">Total Cost to Produce </t>
  </si>
  <si>
    <t>Outer Box</t>
  </si>
  <si>
    <t xml:space="preserve">Wholesale Price (1g) </t>
  </si>
  <si>
    <t>Joint Wholesale Price</t>
  </si>
  <si>
    <t>Hand Filling Rate (jars/min)</t>
  </si>
  <si>
    <t>Profit (Per Unit)</t>
  </si>
  <si>
    <t>Total oil to diamonds</t>
  </si>
  <si>
    <t>Total oil to market</t>
  </si>
  <si>
    <t>Filling Speed (units/hr)</t>
  </si>
  <si>
    <t>50/50 (Flower:Trim)</t>
  </si>
  <si>
    <t xml:space="preserve">Total Cost of Packaging </t>
  </si>
  <si>
    <t>0.5 g Carts</t>
  </si>
  <si>
    <t>Master Casing Rate (boxes/min)</t>
  </si>
  <si>
    <t>Filling Labor Cost (per unit)</t>
  </si>
  <si>
    <t>yield % diamonds from oil (= P9)</t>
  </si>
  <si>
    <t xml:space="preserve">Suggested Toll Fill Price </t>
  </si>
  <si>
    <t xml:space="preserve">Diamond yield </t>
  </si>
  <si>
    <t>Testing Cost (Safetiva 2025)</t>
  </si>
  <si>
    <t xml:space="preserve">Total Liquid Diamonds </t>
  </si>
  <si>
    <t>Volume of Oil to Vapes (Monthly)</t>
  </si>
  <si>
    <t xml:space="preserve">loss from decarb </t>
  </si>
  <si>
    <t>Hardware Filled</t>
  </si>
  <si>
    <t>High Yield Scenario 4%</t>
  </si>
  <si>
    <t>grams</t>
  </si>
  <si>
    <t xml:space="preserve">R/D Residual Solvents </t>
  </si>
  <si>
    <t xml:space="preserve">Cured Resin Vaporizers </t>
  </si>
  <si>
    <t>Packaging Labor</t>
  </si>
  <si>
    <t xml:space="preserve">Compliance </t>
  </si>
  <si>
    <t>Time (Min)</t>
  </si>
  <si>
    <t>Cost (Unit)</t>
  </si>
  <si>
    <t xml:space="preserve">Labeling Costs  </t>
  </si>
  <si>
    <t>30/70 (Flower:Trim)</t>
  </si>
  <si>
    <t>Case Cost</t>
  </si>
  <si>
    <t>Labels Per Case</t>
  </si>
  <si>
    <t>Per Unit Cost</t>
  </si>
  <si>
    <t>Liquid Diamonds to Vape (Monthly)</t>
  </si>
  <si>
    <t>2.25x1.25 Label</t>
  </si>
  <si>
    <t>Plastic Removal</t>
  </si>
  <si>
    <t xml:space="preserve">Black Ribbon </t>
  </si>
  <si>
    <t xml:space="preserve">Sticker Application </t>
  </si>
  <si>
    <t>Total</t>
  </si>
  <si>
    <t>Tube Fill and Insert Placement</t>
  </si>
  <si>
    <t xml:space="preserve"> Vape Cost Summary</t>
  </si>
  <si>
    <t xml:space="preserve">Output and Projected Costs/Revenue </t>
  </si>
  <si>
    <t># of runs/day</t>
  </si>
  <si>
    <t>PreRolls (UnBranded)(Infused)</t>
  </si>
  <si>
    <t>* Pricing does not include corrugated box</t>
  </si>
  <si>
    <t xml:space="preserve">Total Biomass needed </t>
  </si>
  <si>
    <t>Biomass needed weekly</t>
  </si>
  <si>
    <t>Figures based on production averages and Trim @ $300.00/lb</t>
  </si>
  <si>
    <t>Input cost (Daily)</t>
  </si>
  <si>
    <t>Yield</t>
  </si>
  <si>
    <t>Cost per Gram</t>
  </si>
  <si>
    <t>12 x 9 x 6  (Case of 100)</t>
  </si>
  <si>
    <t>Revenue (Daily)</t>
  </si>
  <si>
    <t>Profit (Daily)</t>
  </si>
  <si>
    <t>Base Oil (Corrected For 13% Decarb Loss)</t>
  </si>
  <si>
    <t>Annual</t>
  </si>
  <si>
    <t>Margin</t>
  </si>
  <si>
    <t xml:space="preserve">Total Oil Output Daily </t>
  </si>
  <si>
    <t>Liquid Diamond Economy</t>
  </si>
  <si>
    <t>Micro Diamond Economy</t>
  </si>
  <si>
    <t>Grams</t>
  </si>
  <si>
    <t>6 x 6 x 6 (Case of 48/50)</t>
  </si>
  <si>
    <t xml:space="preserve">Terp Percentage </t>
  </si>
  <si>
    <t>Total Weekly</t>
  </si>
  <si>
    <t>Hardware  (landed)</t>
  </si>
  <si>
    <t>Total Terpenes</t>
  </si>
  <si>
    <t>Packaging (Raw Inputs)[poptop only]</t>
  </si>
  <si>
    <t>Extraction Efficiency</t>
  </si>
  <si>
    <t xml:space="preserve">Total Monthly </t>
  </si>
  <si>
    <t xml:space="preserve">Theoretical Terpene Yield </t>
  </si>
  <si>
    <t>50/50 Flower @ $1200/lb Trim @ $300/lb</t>
  </si>
  <si>
    <t xml:space="preserve">Theorectical Cost </t>
  </si>
  <si>
    <t xml:space="preserve">Annual Yield </t>
  </si>
  <si>
    <t>Rolling Materials +  Labor $</t>
  </si>
  <si>
    <t xml:space="preserve">Quarterly Output </t>
  </si>
  <si>
    <t>Compliance Testing (per 1500 units) ($460.28)</t>
  </si>
  <si>
    <t>Infusion Strength</t>
  </si>
  <si>
    <t>Infusion Cost (Used Value from Material Costs Table)</t>
  </si>
  <si>
    <t>Infusion Cost %</t>
  </si>
  <si>
    <t>Infusion Cost Percent</t>
  </si>
  <si>
    <t xml:space="preserve">Live Rosin Vaporizers </t>
  </si>
  <si>
    <t>*Adjust Highlighted Values to Determine Infusion Costs</t>
  </si>
  <si>
    <t>Single Batch Trim Run (1batch = 45lbs)</t>
  </si>
  <si>
    <t xml:space="preserve">Cost of Unit </t>
  </si>
  <si>
    <t>Figures based on production averages and F.Frozen @ $909.93/lb</t>
  </si>
  <si>
    <t>Single Batch Figures (1batch = 45lbs)</t>
  </si>
  <si>
    <t>Throughput (FF)</t>
  </si>
  <si>
    <t xml:space="preserve">lbs per run </t>
  </si>
  <si>
    <t>Avg Trim Yield = 32.23%</t>
  </si>
  <si>
    <t># of run/day</t>
  </si>
  <si>
    <t>Cost to Produce Live Hash Rosin</t>
  </si>
  <si>
    <t>PreRoll-ER Revenue (Toll)</t>
  </si>
  <si>
    <t>30/70 Flower @ $1200/lb Trim @ $300/lb</t>
  </si>
  <si>
    <t xml:space="preserve">Flower Cost </t>
  </si>
  <si>
    <t>Cost Per Unit (inputs)</t>
  </si>
  <si>
    <t>0.35g</t>
  </si>
  <si>
    <t>1g</t>
  </si>
  <si>
    <t>1g (b.hash @20%)</t>
  </si>
  <si>
    <t>1g(m.diamonds@30%)</t>
  </si>
  <si>
    <t>1g(l.diamonds)</t>
  </si>
  <si>
    <t>Trim Cost</t>
  </si>
  <si>
    <t xml:space="preserve">cone+flower+infusion </t>
  </si>
  <si>
    <t>Pre Ground Flower COGS</t>
  </si>
  <si>
    <t xml:space="preserve">Conversion </t>
  </si>
  <si>
    <t>Materials:</t>
  </si>
  <si>
    <t>Formulation:</t>
  </si>
  <si>
    <t>Hydrocarbon (THCa)</t>
  </si>
  <si>
    <t>Solventless (BubbleHash)</t>
  </si>
  <si>
    <t>cost of flower (per lb)</t>
  </si>
  <si>
    <t>Infusion Type:</t>
  </si>
  <si>
    <t>Compliance Testing (per 1000 units)</t>
  </si>
  <si>
    <t>THCa</t>
  </si>
  <si>
    <t>TAC Calculator</t>
  </si>
  <si>
    <t>cost of trim (per lb)</t>
  </si>
  <si>
    <t>Cost of Infusion per gram (from respective worksheet)</t>
  </si>
  <si>
    <t>Labor Costs (Rolling)</t>
  </si>
  <si>
    <t>Flower Percent</t>
  </si>
  <si>
    <t>Flower THCa %</t>
  </si>
  <si>
    <t xml:space="preserve">Production Totals </t>
  </si>
  <si>
    <t>corrected price per lb</t>
  </si>
  <si>
    <t>Workday  Hours</t>
  </si>
  <si>
    <t>Flower Mass</t>
  </si>
  <si>
    <t xml:space="preserve">Trim Percent </t>
  </si>
  <si>
    <t>Trim Cost (lb)</t>
  </si>
  <si>
    <t>(.35g)</t>
  </si>
  <si>
    <t>(1.0g)</t>
  </si>
  <si>
    <t>1g (b.hash)</t>
  </si>
  <si>
    <t>Cost/Profit</t>
  </si>
  <si>
    <t>1g (diamond)</t>
  </si>
  <si>
    <t>1g (l.diamond)</t>
  </si>
  <si>
    <t xml:space="preserve">avg trim yield </t>
  </si>
  <si>
    <t>Cost of Infusion (1g)</t>
  </si>
  <si>
    <t>Base Infusion THCa%</t>
  </si>
  <si>
    <t>Workdays (week)</t>
  </si>
  <si>
    <t>Cost of Production (Daily)</t>
  </si>
  <si>
    <t>Rolled Per Min</t>
  </si>
  <si>
    <t>adjusted cost (pre infusion)</t>
  </si>
  <si>
    <t>Required Infusion Mass</t>
  </si>
  <si>
    <t>Infusion Mass</t>
  </si>
  <si>
    <t xml:space="preserve">Time to Pay off Unit </t>
  </si>
  <si>
    <t xml:space="preserve">Water Used Per Run </t>
  </si>
  <si>
    <t>Corrected cost w/infusion</t>
  </si>
  <si>
    <t>gallons</t>
  </si>
  <si>
    <t>Cost to Infuse (1lb)</t>
  </si>
  <si>
    <t>Workdays (month)</t>
  </si>
  <si>
    <t xml:space="preserve">  </t>
  </si>
  <si>
    <t xml:space="preserve">Rolled Per Hour </t>
  </si>
  <si>
    <t>Total for 1lb Infused Materal:</t>
  </si>
  <si>
    <t>Expected THCa %</t>
  </si>
  <si>
    <t>Wholesale Biomass</t>
  </si>
  <si>
    <t>Profit</t>
  </si>
  <si>
    <t>Liquid Diamond w/Terps Economy</t>
  </si>
  <si>
    <t>Bubble Hash Infused (Economy)</t>
  </si>
  <si>
    <t>Wholesale Bubble</t>
  </si>
  <si>
    <t xml:space="preserve"> per gram</t>
  </si>
  <si>
    <t>7.0 grams</t>
  </si>
  <si>
    <t>Unlabeled</t>
  </si>
  <si>
    <t>Cost Percents (1 g 30% LD+Terp Infused preroll)</t>
  </si>
  <si>
    <t>Cost Percents (1 g 30% Hash Infused preroll)</t>
  </si>
  <si>
    <t>Labor Rate</t>
  </si>
  <si>
    <t xml:space="preserve">Wholesale Rosin </t>
  </si>
  <si>
    <t>Mylar Bags</t>
  </si>
  <si>
    <t>----</t>
  </si>
  <si>
    <t>an hour</t>
  </si>
  <si>
    <t>Avg Crude Yield (10-18%)</t>
  </si>
  <si>
    <t xml:space="preserve">Total Daily </t>
  </si>
  <si>
    <t xml:space="preserve">Cost of Packaging </t>
  </si>
  <si>
    <t>Labels</t>
  </si>
  <si>
    <t>---</t>
  </si>
  <si>
    <t>Label Application?</t>
  </si>
  <si>
    <t xml:space="preserve">Batch Sticker </t>
  </si>
  <si>
    <t>Batch Sticker Application</t>
  </si>
  <si>
    <t>water price</t>
  </si>
  <si>
    <t>Avg Yield % to Diamonds</t>
  </si>
  <si>
    <t>per gallon</t>
  </si>
  <si>
    <t>*based on &gt;30K gal rate</t>
  </si>
  <si>
    <t>Ribbon/Ink</t>
  </si>
  <si>
    <t xml:space="preserve">FIlling </t>
  </si>
  <si>
    <t>Master Case (Branded)</t>
  </si>
  <si>
    <t>Packing (Master Case)</t>
  </si>
  <si>
    <t xml:space="preserve">Total Bubble Output Daily </t>
  </si>
  <si>
    <t>Daily Labor Cost</t>
  </si>
  <si>
    <t>employee salary</t>
  </si>
  <si>
    <t>Weekly Total</t>
  </si>
  <si>
    <t>Master Case (Unbranded)</t>
  </si>
  <si>
    <t>per gram price (THCa)</t>
  </si>
  <si>
    <t>Terp Dilution</t>
  </si>
  <si>
    <t>Terp Cost (per gram)</t>
  </si>
  <si>
    <t>Rosin Yield (Daily)</t>
  </si>
  <si>
    <t>Monthly Labor Cost</t>
  </si>
  <si>
    <t>Cost Of Bubble Hash</t>
  </si>
  <si>
    <r>
      <rPr>
        <rFont val="Calibri"/>
        <b/>
        <color rgb="FFFA7D00"/>
        <sz val="11.0"/>
      </rPr>
      <t xml:space="preserve">Infusion Cost </t>
    </r>
    <r>
      <rPr>
        <rFont val="Calibri"/>
        <b/>
        <i/>
        <color rgb="FFFA7D00"/>
        <sz val="10.0"/>
      </rPr>
      <t>(Used Value from Material Costs Table)</t>
    </r>
  </si>
  <si>
    <t>Time per Press</t>
  </si>
  <si>
    <t>seconds</t>
  </si>
  <si>
    <t>Need to determine:</t>
  </si>
  <si>
    <t>(Monday meeting)</t>
  </si>
  <si>
    <t xml:space="preserve">Grams per Press </t>
  </si>
  <si>
    <t xml:space="preserve">Cost of primary packaging </t>
  </si>
  <si>
    <t>Material Costs</t>
  </si>
  <si>
    <t>Required Pressing Time</t>
  </si>
  <si>
    <t xml:space="preserve">Pre Labeled Packaging or Unlabeled </t>
  </si>
  <si>
    <t>Required Flower (Daily)</t>
  </si>
  <si>
    <t>Hours</t>
  </si>
  <si>
    <t>Required Presses</t>
  </si>
  <si>
    <t>Cost of Labels</t>
  </si>
  <si>
    <t>Shipping Box Format (Branded or Plain Corrugated)</t>
  </si>
  <si>
    <t>presses/shift</t>
  </si>
  <si>
    <t>Quarterly Output</t>
  </si>
  <si>
    <t>Total Bubble Pressed</t>
  </si>
  <si>
    <t>Yield % (Bubble)</t>
  </si>
  <si>
    <t xml:space="preserve">Yield From Bubble  </t>
  </si>
  <si>
    <t>Cost/Profit (Rosin)</t>
  </si>
  <si>
    <t xml:space="preserve">Size (g) </t>
  </si>
  <si>
    <t>pounds</t>
  </si>
  <si>
    <t>Ceramic</t>
  </si>
  <si>
    <t>Required Flower (Monthly)</t>
  </si>
  <si>
    <t>Gross Revenue (Daily)</t>
  </si>
  <si>
    <t>Cones Size</t>
  </si>
  <si>
    <t xml:space="preserve">109/26 </t>
  </si>
  <si>
    <t xml:space="preserve">78/26 </t>
  </si>
  <si>
    <t>90/26</t>
  </si>
  <si>
    <t>Net Revenue</t>
  </si>
  <si>
    <t xml:space="preserve">Testing Cost </t>
  </si>
  <si>
    <t>Price Per Cone</t>
  </si>
  <si>
    <t>Percent Flower</t>
  </si>
  <si>
    <t>Flower Price (lb)</t>
  </si>
  <si>
    <t>Required Infusion (g) Daily</t>
  </si>
  <si>
    <t>Price Per Gram (w/15% loss to milling)</t>
  </si>
  <si>
    <t>Cultivation</t>
  </si>
  <si>
    <t xml:space="preserve">Manufacturing </t>
  </si>
  <si>
    <t>Infused Flower</t>
  </si>
  <si>
    <t>Concentrate(BHO)</t>
  </si>
  <si>
    <t>Concentrate (IWH)</t>
  </si>
  <si>
    <t xml:space="preserve">PreRoll </t>
  </si>
  <si>
    <t>Carts</t>
  </si>
  <si>
    <t xml:space="preserve">Moon Rocks </t>
  </si>
  <si>
    <t>3-4* bubble</t>
  </si>
  <si>
    <t xml:space="preserve">.35g x 10 </t>
  </si>
  <si>
    <t>Live resin</t>
  </si>
  <si>
    <t>.5g/1g disp</t>
  </si>
  <si>
    <t>Badder</t>
  </si>
  <si>
    <t>.5/1g</t>
  </si>
  <si>
    <t>5* bubble</t>
  </si>
  <si>
    <t xml:space="preserve">1g x5 </t>
  </si>
  <si>
    <t>liquid diamonds</t>
  </si>
  <si>
    <t>.5g/1g cart</t>
  </si>
  <si>
    <t>% of total =</t>
  </si>
  <si>
    <t>Shatter</t>
  </si>
  <si>
    <t>1g inf/raw</t>
  </si>
  <si>
    <t xml:space="preserve">rosin </t>
  </si>
  <si>
    <t>.5g cart</t>
  </si>
  <si>
    <t>Live Resin</t>
  </si>
  <si>
    <t xml:space="preserve">Live Rosin </t>
  </si>
  <si>
    <t xml:space="preserve">live rosin </t>
  </si>
  <si>
    <t>.5g disposable</t>
  </si>
  <si>
    <t>Sugar</t>
  </si>
  <si>
    <t xml:space="preserve">infusion material </t>
  </si>
  <si>
    <t>1g blunt (I,r)</t>
  </si>
  <si>
    <t>Required Infusion (g) Monthly</t>
  </si>
  <si>
    <t>Diamonds</t>
  </si>
  <si>
    <t>3-4g blunt (i)</t>
  </si>
  <si>
    <t>H.T.E</t>
  </si>
  <si>
    <t>PreRoll Packaging</t>
  </si>
  <si>
    <t>Plastic Tube</t>
  </si>
  <si>
    <t>Glass Tube</t>
  </si>
  <si>
    <t>Calculation done to include 15% processing loss</t>
  </si>
  <si>
    <t>PreRoll Formulations (TG)</t>
  </si>
  <si>
    <t>Total Cost w/cone</t>
  </si>
  <si>
    <t>100% Flower</t>
  </si>
  <si>
    <t xml:space="preserve">Infusion Material </t>
  </si>
  <si>
    <t xml:space="preserve">Bubble Hash </t>
  </si>
  <si>
    <t>Liquid Diamonds</t>
  </si>
  <si>
    <t xml:space="preserve">Per Unit Revenue </t>
  </si>
  <si>
    <t xml:space="preserve">70/30 (Flower to Trim </t>
  </si>
  <si>
    <t>INPUTS</t>
  </si>
  <si>
    <t xml:space="preserve">BIOMASS PROCESSED DAILY </t>
  </si>
  <si>
    <t>gram/week</t>
  </si>
  <si>
    <t>EFFICIENCY</t>
  </si>
  <si>
    <t>efficiency</t>
  </si>
  <si>
    <t>Daily Operations Crude</t>
  </si>
  <si>
    <t>Price Per Gram</t>
  </si>
  <si>
    <t>INPUT BIOMASS COST</t>
  </si>
  <si>
    <t>*from 253organic $120/lb trim</t>
  </si>
  <si>
    <t xml:space="preserve">Raw material costs </t>
  </si>
  <si>
    <t>WHOLE SALE PRICE CRUDE</t>
  </si>
  <si>
    <t>Labor Costs</t>
  </si>
  <si>
    <t xml:space="preserve">LUNA.IO YIELD </t>
  </si>
  <si>
    <t>yield</t>
  </si>
  <si>
    <t>Consumables Cost per day</t>
  </si>
  <si>
    <t>Product Size</t>
  </si>
  <si>
    <t xml:space="preserve">.35g x 5 </t>
  </si>
  <si>
    <t>1g (bubble hash)</t>
  </si>
  <si>
    <t xml:space="preserve">BIOMASS CAPACITY PER RUN </t>
  </si>
  <si>
    <t>1g (micro diamonds)</t>
  </si>
  <si>
    <t>1g (injection)</t>
  </si>
  <si>
    <t xml:space="preserve">50/50 (Flower:Trim) </t>
  </si>
  <si>
    <t xml:space="preserve">Subtotal Daily Operating Costs </t>
  </si>
  <si>
    <t xml:space="preserve">DISTILLATE WHOLESLE </t>
  </si>
  <si>
    <t>per mL</t>
  </si>
  <si>
    <t>CRUDE TO DISTILLATE</t>
  </si>
  <si>
    <t xml:space="preserve"> of crude</t>
  </si>
  <si>
    <t>SINNING BAND FLOW RATE</t>
  </si>
  <si>
    <t>mL/hour</t>
  </si>
  <si>
    <t>SPIN.BAND YIELD1</t>
  </si>
  <si>
    <t xml:space="preserve">LPG PRICE </t>
  </si>
  <si>
    <t>* from QualityExtractionGroup</t>
  </si>
  <si>
    <t>GAS CONSUMPTION RATE</t>
  </si>
  <si>
    <t>lbs/run</t>
  </si>
  <si>
    <t xml:space="preserve">LABOR RATE </t>
  </si>
  <si>
    <t>hr</t>
  </si>
  <si>
    <t>WORK DAYS/YEAR</t>
  </si>
  <si>
    <t>Price Per joint</t>
  </si>
  <si>
    <t>days/year</t>
  </si>
  <si>
    <t xml:space="preserve">HOURS OF OPERATION </t>
  </si>
  <si>
    <t>hrs</t>
  </si>
  <si>
    <t xml:space="preserve">Setup Time </t>
  </si>
  <si>
    <t>Hrs</t>
  </si>
  <si>
    <t>LUNA OUTPUT CRUDE OIL</t>
  </si>
  <si>
    <t>Gas consumption per run</t>
  </si>
  <si>
    <t xml:space="preserve">Wholesale Price </t>
  </si>
  <si>
    <t xml:space="preserve">Run Duration </t>
  </si>
  <si>
    <t>number of runs a day</t>
  </si>
  <si>
    <t>runs</t>
  </si>
  <si>
    <t>WorkDay</t>
  </si>
  <si>
    <t>number of runs a week</t>
  </si>
  <si>
    <t>runs/wk</t>
  </si>
  <si>
    <t>Total runs daily</t>
  </si>
  <si>
    <t>Total Oil Used (Daily)</t>
  </si>
  <si>
    <t>gas cosumption a week</t>
  </si>
  <si>
    <t xml:space="preserve">Daily Production </t>
  </si>
  <si>
    <t>g/day</t>
  </si>
  <si>
    <t>80lbs every 2 weeks</t>
  </si>
  <si>
    <t xml:space="preserve">Yearly Production </t>
  </si>
  <si>
    <t>Cost to Produce (w/packaging and labor)</t>
  </si>
  <si>
    <t>g/year</t>
  </si>
  <si>
    <t xml:space="preserve">Crude Production Margin </t>
  </si>
  <si>
    <t xml:space="preserve">Cost of production </t>
  </si>
  <si>
    <t xml:space="preserve">g crude oil </t>
  </si>
  <si>
    <t>Revenue</t>
  </si>
  <si>
    <t>day</t>
  </si>
  <si>
    <t>Gross(daily)</t>
  </si>
  <si>
    <t xml:space="preserve">day </t>
  </si>
  <si>
    <r>
      <rPr>
        <rFont val="Calibri"/>
        <b/>
        <color theme="1"/>
        <sz val="11.0"/>
      </rPr>
      <t xml:space="preserve">Daily Distillate Production w/X% commitment of crude </t>
    </r>
    <r>
      <rPr>
        <rFont val="Calibri"/>
        <b val="0"/>
        <i/>
        <color theme="1"/>
        <sz val="11.0"/>
      </rPr>
      <t>(using a 1:1 conversion; gram to mL)</t>
    </r>
    <r>
      <rPr>
        <rFont val="Calibri"/>
        <b/>
        <color theme="1"/>
        <sz val="11.0"/>
      </rPr>
      <t xml:space="preserve"> </t>
    </r>
  </si>
  <si>
    <t xml:space="preserve">Crude Input </t>
  </si>
  <si>
    <t>Cost to Infuse (Daily)</t>
  </si>
  <si>
    <t>Daily Distillate Yield</t>
  </si>
  <si>
    <t>mL</t>
  </si>
  <si>
    <t xml:space="preserve">Added Process time </t>
  </si>
  <si>
    <t xml:space="preserve"> hours</t>
  </si>
  <si>
    <t>**calculation does not include winterization or decarboxylation steps</t>
  </si>
  <si>
    <t>daily</t>
  </si>
  <si>
    <t>Gross</t>
  </si>
  <si>
    <t xml:space="preserve">Cost (F) </t>
  </si>
  <si>
    <t>Cost (T)</t>
  </si>
  <si>
    <t>Distillate Yield Annual</t>
  </si>
  <si>
    <t>Total Oil Used (Monthly)</t>
  </si>
  <si>
    <t>mL/year</t>
  </si>
  <si>
    <t>Distillate Cost of Production Annual</t>
  </si>
  <si>
    <t>per year</t>
  </si>
  <si>
    <t>Distillate Revenue Annual</t>
  </si>
  <si>
    <t xml:space="preserve">Margin per unit </t>
  </si>
  <si>
    <t>Distillate Gross Annual</t>
  </si>
  <si>
    <t xml:space="preserve">Distillate Margin Annual </t>
  </si>
  <si>
    <t>Total Cost of Oil (Monthly)</t>
  </si>
  <si>
    <t>40/60 (Flower:Trim)</t>
  </si>
  <si>
    <t xml:space="preserve">Total printable labels per ribbon </t>
  </si>
  <si>
    <t>2 labels/sec</t>
  </si>
  <si>
    <t xml:space="preserve">Packaging Costs </t>
  </si>
  <si>
    <t>Consumables</t>
  </si>
  <si>
    <t xml:space="preserve">Per case </t>
  </si>
  <si>
    <t>Per Roll</t>
  </si>
  <si>
    <t>12 x 9 x 6 Corrugated Box = $0.67  per 100 units</t>
  </si>
  <si>
    <t xml:space="preserve">Cost per label </t>
  </si>
  <si>
    <t>6 x 6 x 6 Corrugated Box = $0.39 per 48 or 50 units</t>
  </si>
  <si>
    <t>Cost per batch sticker</t>
  </si>
  <si>
    <t xml:space="preserve">Cost of ribbon </t>
  </si>
  <si>
    <r>
      <rPr>
        <rFont val="Calibri"/>
        <b/>
        <color rgb="FFFA7D00"/>
        <sz val="11.0"/>
      </rPr>
      <t xml:space="preserve">Infusion Cost </t>
    </r>
    <r>
      <rPr>
        <rFont val="Calibri"/>
        <b/>
        <i/>
        <color rgb="FFFA7D00"/>
        <sz val="10.0"/>
      </rPr>
      <t>(Used Value from Material Costs Table)</t>
    </r>
  </si>
  <si>
    <r>
      <rPr>
        <rFont val="Calibri"/>
        <b/>
        <color rgb="FFFA7D00"/>
        <sz val="11.0"/>
      </rPr>
      <t xml:space="preserve">Infusion Cost </t>
    </r>
    <r>
      <rPr>
        <rFont val="Calibri"/>
        <b/>
        <i/>
        <color rgb="FFFA7D00"/>
        <sz val="10.0"/>
      </rPr>
      <t>(Used Value from Material Costs Table)</t>
    </r>
  </si>
  <si>
    <t>Cost of tube and top</t>
  </si>
  <si>
    <t>Totals</t>
  </si>
  <si>
    <r>
      <rPr>
        <rFont val="Calibri"/>
        <b/>
        <color rgb="FFFA7D00"/>
        <sz val="11.0"/>
      </rPr>
      <t xml:space="preserve">Infusion Cost </t>
    </r>
    <r>
      <rPr>
        <rFont val="Calibri"/>
        <b/>
        <i/>
        <color rgb="FFFA7D00"/>
        <sz val="10.0"/>
      </rPr>
      <t>(Used Value from Material Costs Table)</t>
    </r>
  </si>
  <si>
    <t>Labor @$18/hr</t>
  </si>
  <si>
    <t>For 1000 pieces</t>
  </si>
  <si>
    <t>avg time (hours)</t>
  </si>
  <si>
    <t>Cost per 1000</t>
  </si>
  <si>
    <t>Cost per unit</t>
  </si>
  <si>
    <t>Percents</t>
  </si>
  <si>
    <t xml:space="preserve">Print Time (per 1000 pcs) </t>
  </si>
  <si>
    <t>Application of Sticker (1000 pcs)</t>
  </si>
  <si>
    <t xml:space="preserve">Stickering of Tubes </t>
  </si>
  <si>
    <t xml:space="preserve">Tube Packing </t>
  </si>
  <si>
    <t xml:space="preserve">Master Case Packing </t>
  </si>
  <si>
    <t>Grinding of flower (5lbs = 60 mins)</t>
  </si>
  <si>
    <t xml:space="preserve">QC </t>
  </si>
  <si>
    <t>Plastic Removal (300 pieces/10mins)</t>
  </si>
  <si>
    <t>Total Packaging Labor</t>
  </si>
  <si>
    <r>
      <rPr>
        <rFont val="Calibri"/>
        <b/>
        <color rgb="FFFA7D00"/>
        <sz val="11.0"/>
      </rPr>
      <t xml:space="preserve">Infusion Cost </t>
    </r>
    <r>
      <rPr>
        <rFont val="Calibri"/>
        <b/>
        <i/>
        <color rgb="FFFA7D00"/>
        <sz val="10.0"/>
      </rPr>
      <t>(Used Value from Material Costs Table)</t>
    </r>
  </si>
  <si>
    <r>
      <rPr>
        <rFont val="Calibri"/>
        <b/>
        <color rgb="FFFA7D00"/>
        <sz val="11.0"/>
      </rPr>
      <t xml:space="preserve">Infusion Cost </t>
    </r>
    <r>
      <rPr>
        <rFont val="Calibri"/>
        <b/>
        <i/>
        <color rgb="FFFA7D00"/>
        <sz val="10.0"/>
      </rPr>
      <t>(Used Value from Material Costs Table)</t>
    </r>
  </si>
  <si>
    <t xml:space="preserve">Percentage of Total </t>
  </si>
  <si>
    <t>Distillate Infusion Cost</t>
  </si>
  <si>
    <t xml:space="preserve">Cost Of Disty </t>
  </si>
  <si>
    <t>gram</t>
  </si>
  <si>
    <t>Cost Percents (1 g 30% Distillate Infused preroll)</t>
  </si>
  <si>
    <t>Cost of Terpene</t>
  </si>
  <si>
    <t>40/60 Flower @ $1200/lb Trim @ $300/lb</t>
  </si>
  <si>
    <t>Cost of Temper</t>
  </si>
  <si>
    <t>Dilution  (Terp)</t>
  </si>
  <si>
    <t>Dilution ( Temp)</t>
  </si>
  <si>
    <r>
      <rPr>
        <rFont val="Calibri"/>
        <b/>
        <color rgb="FFFA7D00"/>
        <sz val="11.0"/>
      </rPr>
      <t xml:space="preserve">Infusion Cost </t>
    </r>
    <r>
      <rPr>
        <rFont val="Calibri"/>
        <b/>
        <i/>
        <color rgb="FFFA7D00"/>
        <sz val="10.0"/>
      </rPr>
      <t>(Used Value from Material Costs Table)</t>
    </r>
  </si>
  <si>
    <t>Dilution (Total)</t>
  </si>
  <si>
    <t>Cost of Terp</t>
  </si>
  <si>
    <t>Cost of Temp</t>
  </si>
  <si>
    <t>Cost of Dilution</t>
  </si>
  <si>
    <t>Cost of Infusion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</si>
</sst>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_);[Red]\(&quot;$&quot;#,##0.00\)"/>
    <numFmt numFmtId="165" formatCode="&quot;$&quot;#,##0.00"/>
    <numFmt numFmtId="166" formatCode="_(&quot;$&quot;* #,##0.00_);_(&quot;$&quot;* \(#,##0.00\);_(&quot;$&quot;* &quot;-&quot;??_);_(@_)"/>
    <numFmt numFmtId="167" formatCode="_(&quot;$&quot;* #,##0.000_);_(&quot;$&quot;* \(#,##0.000\);_(&quot;$&quot;* &quot;-&quot;??.0_);_(@_)"/>
    <numFmt numFmtId="168" formatCode="0.0"/>
    <numFmt numFmtId="169" formatCode="0.0%"/>
    <numFmt numFmtId="170" formatCode="&quot;$&quot;#,##0.000"/>
    <numFmt numFmtId="171" formatCode="_(* #,##0.00_);_(* \(#,##0.00\);_(* &quot;-&quot;??_);_(@_)"/>
    <numFmt numFmtId="172" formatCode="_(&quot;$&quot;* #,##0.0000_);_(&quot;$&quot;* \(#,##0.0000\);_(&quot;$&quot;* &quot;-&quot;??_);_(@_)"/>
    <numFmt numFmtId="173" formatCode="&quot;$&quot;#,##0_);[Red]\(&quot;$&quot;#,##0\)"/>
  </numFmts>
  <fonts count="41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u/>
      <sz val="19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3F3F76"/>
      <name val="Calibri"/>
    </font>
    <font>
      <b/>
      <sz val="18.0"/>
      <color theme="1"/>
      <name val="Calibri"/>
      <scheme val="minor"/>
    </font>
    <font>
      <b/>
      <sz val="11.0"/>
      <color rgb="FFFA7D00"/>
      <name val="Calibri"/>
    </font>
    <font>
      <b/>
      <sz val="11.0"/>
      <color theme="0"/>
      <name val="Calibri"/>
    </font>
    <font>
      <b/>
      <sz val="13.0"/>
      <color rgb="FF44546A"/>
      <name val="Calibri"/>
    </font>
    <font>
      <sz val="11.0"/>
      <color rgb="FF3F3F76"/>
      <name val="Calibri"/>
    </font>
    <font>
      <b/>
      <i/>
      <sz val="10.0"/>
      <color theme="1"/>
      <name val="Calibri"/>
    </font>
    <font>
      <b/>
      <sz val="11.0"/>
      <color rgb="FFFFFFFF"/>
      <name val="Calibri"/>
    </font>
    <font>
      <color rgb="FF333333"/>
      <name val="Monospace"/>
    </font>
    <font>
      <sz val="11.0"/>
      <color rgb="FF006100"/>
      <name val="Calibri"/>
    </font>
    <font>
      <b/>
      <u/>
      <sz val="11.0"/>
      <color rgb="FFFA7D00"/>
      <name val="Calibri"/>
    </font>
    <font>
      <b/>
      <sz val="11.0"/>
      <color theme="5"/>
      <name val="Calibri"/>
    </font>
    <font>
      <b/>
      <sz val="11.0"/>
      <color rgb="FFFFFF00"/>
      <name val="Calibri"/>
    </font>
    <font>
      <b/>
      <sz val="18.0"/>
      <color theme="1"/>
      <name val="Calibri"/>
    </font>
    <font>
      <sz val="13.0"/>
      <color theme="1"/>
      <name val="Calibri"/>
      <scheme val="minor"/>
    </font>
    <font>
      <sz val="11.0"/>
      <color theme="5"/>
      <name val="Calibri"/>
    </font>
    <font>
      <u/>
      <sz val="20.0"/>
      <color theme="1"/>
      <name val="Calibri"/>
    </font>
    <font>
      <u/>
      <sz val="20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3.0"/>
      <color theme="1"/>
      <name val="Calibri"/>
      <scheme val="minor"/>
    </font>
    <font>
      <b/>
      <sz val="14.0"/>
      <color theme="1"/>
      <name val="Calibri"/>
    </font>
    <font>
      <b/>
      <sz val="13.0"/>
      <color theme="1"/>
      <name val="Calibri"/>
    </font>
    <font>
      <b/>
      <sz val="11.0"/>
      <color rgb="FF000000"/>
      <name val="Calibri"/>
    </font>
    <font>
      <sz val="11.0"/>
      <color rgb="FFFA7D00"/>
      <name val="Calibri"/>
    </font>
    <font>
      <i/>
      <sz val="11.0"/>
      <color theme="1"/>
      <name val="Calibri"/>
    </font>
    <font>
      <sz val="11.0"/>
      <color rgb="FFFFFFFF"/>
      <name val="Calibri"/>
    </font>
    <font>
      <sz val="11.0"/>
      <color theme="0"/>
      <name val="Calibri"/>
    </font>
    <font>
      <b/>
      <i/>
      <sz val="11.0"/>
      <color theme="1"/>
      <name val="Calibri"/>
    </font>
    <font>
      <b/>
      <i/>
      <sz val="11.0"/>
      <color rgb="FFFF0000"/>
      <name val="Calibri"/>
    </font>
    <font>
      <b/>
      <i/>
      <sz val="11.0"/>
      <color rgb="FF002060"/>
      <name val="Calibri"/>
    </font>
    <font>
      <b/>
      <sz val="12.0"/>
      <color theme="1"/>
      <name val="Calibri"/>
    </font>
    <font>
      <b/>
      <sz val="14.0"/>
      <color rgb="FF006100"/>
      <name val="Calibri"/>
    </font>
    <font>
      <color rgb="FFFF8001"/>
      <name val="Calibri"/>
      <scheme val="minor"/>
    </font>
    <font>
      <b/>
      <color rgb="FFFF8001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rgb="FFC6EFCE"/>
        <bgColor rgb="FFC6EFCE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171616"/>
        <bgColor rgb="FF171616"/>
      </patternFill>
    </fill>
    <fill>
      <patternFill patternType="solid">
        <fgColor theme="9"/>
        <bgColor theme="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7F7F7F"/>
        <bgColor rgb="FF7F7F7F"/>
      </patternFill>
    </fill>
    <fill>
      <patternFill patternType="solid">
        <fgColor rgb="FF000000"/>
        <bgColor rgb="FF000000"/>
      </patternFill>
    </fill>
  </fills>
  <borders count="152">
    <border/>
    <border>
      <left style="thick">
        <color rgb="FF000000"/>
      </left>
      <top style="thick">
        <color rgb="FF000000"/>
      </top>
      <bottom style="double">
        <color rgb="FF3F3F3F"/>
      </bottom>
    </border>
    <border>
      <right style="thick">
        <color rgb="FF000000"/>
      </right>
      <top style="thick">
        <color rgb="FF000000"/>
      </top>
      <bottom style="double">
        <color rgb="FF3F3F3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000000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ck">
        <color rgb="FF000000"/>
      </left>
      <top style="thick">
        <color rgb="FF000000"/>
      </top>
    </border>
    <border>
      <left style="double">
        <color rgb="FF3F3F3F"/>
      </left>
      <right style="thick">
        <color rgb="FF000000"/>
      </right>
      <top style="double">
        <color rgb="FF3F3F3F"/>
      </top>
      <bottom style="double">
        <color rgb="FF3F3F3F"/>
      </bottom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FFFFFF"/>
      </left>
      <top style="thick">
        <color rgb="FFFFFFFF"/>
      </top>
      <bottom/>
    </border>
    <border>
      <left style="thick">
        <color rgb="FF000000"/>
      </left>
    </border>
    <border>
      <right style="thick">
        <color rgb="FFFFFFFF"/>
      </right>
      <top style="thick">
        <color rgb="FFFFFFFF"/>
      </top>
      <bottom/>
    </border>
    <border>
      <top style="thick">
        <color rgb="FFFFFFFF"/>
      </top>
      <bottom/>
    </border>
    <border>
      <right style="thick">
        <color rgb="FF000000"/>
      </right>
    </border>
    <border>
      <left style="thick">
        <color rgb="FF00FF00"/>
      </left>
      <top style="thick">
        <color rgb="FF00FF00"/>
      </top>
      <bottom style="thick">
        <color rgb="FF00FF00"/>
      </bottom>
    </border>
    <border>
      <right style="thick">
        <color rgb="FF00FF00"/>
      </right>
      <top style="thick">
        <color rgb="FF00FF00"/>
      </top>
      <bottom style="thick">
        <color rgb="FF00FF00"/>
      </bottom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FFFFFF"/>
      </left>
      <top/>
      <bottom style="thin">
        <color theme="5"/>
      </bottom>
    </border>
    <border>
      <right style="thick">
        <color rgb="FFFFFFFF"/>
      </right>
      <top/>
      <bottom style="thin">
        <color theme="5"/>
      </bottom>
    </border>
    <border>
      <top/>
      <bottom style="thin">
        <color theme="5"/>
      </bottom>
    </border>
    <border>
      <left style="thick">
        <color rgb="FF000000"/>
      </left>
      <bottom style="thin">
        <color rgb="FF7F7F7F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7F7F7F"/>
      </top>
      <bottom style="thin">
        <color rgb="FF7F7F7F"/>
      </bottom>
    </border>
    <border>
      <left/>
      <right/>
      <top/>
      <bottom/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FFFFFF"/>
      </left>
      <right style="thin">
        <color theme="5"/>
      </right>
      <top style="thin">
        <color theme="5"/>
      </top>
      <bottom style="thin">
        <color theme="5"/>
      </bottom>
    </border>
    <border>
      <left style="thin">
        <color theme="5"/>
      </left>
      <right style="thick">
        <color rgb="FFFFFFFF"/>
      </right>
      <top style="thin">
        <color theme="5"/>
      </top>
      <bottom style="thin">
        <color theme="5"/>
      </bottom>
    </border>
    <border>
      <left style="thick">
        <color rgb="FFFFFFFF"/>
      </left>
      <top style="thin">
        <color theme="5"/>
      </top>
      <bottom style="thin">
        <color theme="5"/>
      </bottom>
    </border>
    <border>
      <right style="thin">
        <color theme="5"/>
      </right>
      <top style="thin">
        <color theme="5"/>
      </top>
      <bottom style="thin">
        <color theme="5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/>
      <bottom style="double">
        <color rgb="FF3F3F3F"/>
      </bottom>
    </border>
    <border>
      <right style="thick">
        <color rgb="FF000000"/>
      </right>
      <top/>
      <bottom style="double">
        <color rgb="FF3F3F3F"/>
      </bottom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right/>
      <top style="thick">
        <color rgb="FF00FF00"/>
      </top>
      <bottom style="thick">
        <color rgb="FF00FF00"/>
      </bottom>
    </border>
    <border>
      <left/>
      <right style="thick">
        <color rgb="FF00FF00"/>
      </right>
      <top style="thick">
        <color rgb="FF00FF00"/>
      </top>
      <bottom style="thick">
        <color rgb="FF00FF00"/>
      </bottom>
    </border>
    <border>
      <left style="thick">
        <color rgb="FF000000"/>
      </left>
      <top style="double">
        <color rgb="FF3F3F3F"/>
      </top>
      <bottom style="double">
        <color rgb="FF3F3F3F"/>
      </bottom>
    </border>
    <border>
      <right style="thick">
        <color rgb="FF000000"/>
      </right>
      <top style="double">
        <color rgb="FF3F3F3F"/>
      </top>
      <bottom style="double">
        <color rgb="FF3F3F3F"/>
      </bottom>
    </border>
    <border>
      <left style="thick">
        <color rgb="FF000000"/>
      </left>
      <right/>
      <top/>
      <bottom style="hair">
        <color rgb="FF000000"/>
      </bottom>
    </border>
    <border>
      <left/>
      <right style="thick">
        <color rgb="FF000000"/>
      </right>
      <top/>
      <bottom style="hair">
        <color rgb="FF000000"/>
      </bottom>
    </border>
    <border>
      <left style="thick">
        <color rgb="FF000000"/>
      </left>
      <top style="double">
        <color rgb="FF3F3F3F"/>
      </top>
      <bottom/>
    </border>
    <border>
      <right style="thick">
        <color rgb="FF000000"/>
      </right>
      <top style="double">
        <color rgb="FF3F3F3F"/>
      </top>
      <bottom/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 style="thick">
        <color rgb="FF000000"/>
      </left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bottom style="thick">
        <color rgb="FF000000"/>
      </bottom>
    </border>
    <border>
      <left style="thick">
        <color rgb="FFFF0000"/>
      </left>
      <right style="thin">
        <color rgb="FF7F7F7F"/>
      </right>
      <top style="thick">
        <color rgb="FFFF0000"/>
      </top>
      <bottom style="thick">
        <color rgb="FFFF0000"/>
      </bottom>
    </border>
    <border>
      <left style="thin">
        <color rgb="FF7F7F7F"/>
      </left>
      <right style="thin">
        <color rgb="FF7F7F7F"/>
      </right>
      <top style="thick">
        <color rgb="FFFF0000"/>
      </top>
      <bottom style="thick">
        <color rgb="FFFF0000"/>
      </bottom>
    </border>
    <border>
      <left style="thick">
        <color rgb="FFFFFFFF"/>
      </left>
      <right/>
      <top style="thin">
        <color theme="5"/>
      </top>
      <bottom/>
    </border>
    <border>
      <left style="thin">
        <color rgb="FF7F7F7F"/>
      </left>
      <right style="thick">
        <color rgb="FFFF0000"/>
      </right>
      <top style="thick">
        <color rgb="FFFF0000"/>
      </top>
      <bottom style="thick">
        <color rgb="FFFF0000"/>
      </bottom>
    </border>
    <border>
      <left/>
      <right style="thick">
        <color rgb="FFFFFFFF"/>
      </right>
      <top style="thin">
        <color theme="5"/>
      </top>
      <bottom/>
    </border>
    <border>
      <left/>
      <right/>
      <top style="thin">
        <color theme="5"/>
      </top>
      <bottom/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ck">
        <color rgb="FF000000"/>
      </left>
      <right/>
      <top style="hair">
        <color rgb="FF000000"/>
      </top>
      <bottom/>
    </border>
    <border>
      <left/>
      <right style="thick">
        <color rgb="FF000000"/>
      </right>
      <top style="hair">
        <color rgb="FF000000"/>
      </top>
      <bottom/>
    </border>
    <border>
      <left style="thick">
        <color rgb="FFFFFFFF"/>
      </left>
      <right/>
      <top/>
      <bottom style="thick">
        <color rgb="FFFFFFFF"/>
      </bottom>
    </border>
    <border>
      <left/>
      <right style="thick">
        <color rgb="FFFFFFFF"/>
      </right>
      <top/>
      <bottom style="thick">
        <color rgb="FFFFFFFF"/>
      </bottom>
    </border>
    <border>
      <left/>
      <right/>
      <top/>
      <bottom style="thick">
        <color rgb="FFFFFFFF"/>
      </bottom>
    </border>
    <border>
      <left style="thin">
        <color rgb="FF7F7F7F"/>
      </left>
      <right style="thin">
        <color rgb="FF7F7F7F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/>
    </border>
    <border>
      <left style="medium">
        <color rgb="FFFFFF00"/>
      </left>
      <top style="medium">
        <color rgb="FFFFFF00"/>
      </top>
      <bottom style="medium">
        <color rgb="FFFFFF00"/>
      </bottom>
    </border>
    <border>
      <right style="thick">
        <color rgb="FF000000"/>
      </right>
      <top style="medium">
        <color rgb="FFFFFF00"/>
      </top>
      <bottom style="medium">
        <color rgb="FFFFFF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thin">
        <color theme="5"/>
      </bottom>
    </border>
    <border>
      <right style="medium">
        <color rgb="FF000000"/>
      </right>
      <top/>
      <bottom style="thin">
        <color theme="5"/>
      </bottom>
    </border>
    <border>
      <left style="medium">
        <color rgb="FF000000"/>
      </left>
      <top style="thin">
        <color theme="5"/>
      </top>
      <bottom style="thin">
        <color theme="5"/>
      </bottom>
    </border>
    <border>
      <left style="thin">
        <color theme="5"/>
      </left>
      <right style="medium">
        <color rgb="FF000000"/>
      </right>
      <top style="thin">
        <color theme="5"/>
      </top>
      <bottom style="thin">
        <color theme="5"/>
      </bottom>
    </border>
    <border>
      <left style="medium">
        <color rgb="FF000000"/>
      </left>
      <right style="thin">
        <color theme="5"/>
      </right>
      <top style="thin">
        <color theme="5"/>
      </top>
      <bottom style="thin">
        <color theme="5"/>
      </bottom>
    </border>
    <border>
      <left style="medium">
        <color rgb="FF000000"/>
      </left>
      <right/>
      <top style="thin">
        <color theme="5"/>
      </top>
      <bottom/>
    </border>
    <border>
      <left/>
      <right style="thin">
        <color theme="5"/>
      </right>
      <top style="thin">
        <color theme="5"/>
      </top>
      <bottom/>
    </border>
    <border>
      <left style="thin">
        <color theme="5"/>
      </left>
      <right style="medium">
        <color rgb="FF000000"/>
      </right>
      <top style="thin">
        <color theme="5"/>
      </top>
      <bottom/>
    </border>
    <border>
      <left style="medium">
        <color rgb="FF000000"/>
      </left>
      <right style="thin">
        <color theme="5"/>
      </right>
      <top style="thin">
        <color theme="5"/>
      </top>
      <bottom/>
    </border>
    <border>
      <left style="thin">
        <color theme="5"/>
      </left>
      <right style="thin">
        <color theme="5"/>
      </right>
      <top style="thin">
        <color theme="5"/>
      </top>
      <bottom/>
    </border>
    <border>
      <left style="medium">
        <color rgb="FF000000"/>
      </left>
      <top style="medium">
        <color rgb="FFFFFF00"/>
      </top>
      <bottom style="medium">
        <color rgb="FFFFFF00"/>
      </bottom>
    </border>
    <border>
      <right style="thin">
        <color rgb="FF7F7F7F"/>
      </right>
      <top style="medium">
        <color rgb="FFFFFF00"/>
      </top>
      <bottom style="medium">
        <color rgb="FFFFFF00"/>
      </bottom>
    </border>
    <border>
      <left style="thin">
        <color rgb="FF7F7F7F"/>
      </left>
      <right style="medium">
        <color rgb="FF000000"/>
      </right>
      <top style="medium">
        <color rgb="FFFFFF00"/>
      </top>
      <bottom style="medium">
        <color rgb="FFFFFF00"/>
      </bottom>
    </border>
    <border>
      <right style="thin">
        <color theme="5"/>
      </right>
      <top/>
      <bottom style="thin">
        <color theme="5"/>
      </bottom>
    </border>
    <border>
      <left style="thin">
        <color theme="5"/>
      </left>
      <right style="medium">
        <color rgb="FF000000"/>
      </right>
      <top/>
      <bottom style="thin">
        <color theme="5"/>
      </bottom>
    </border>
    <border>
      <right/>
      <top/>
      <bottom style="thick">
        <color rgb="FF000000"/>
      </bottom>
    </border>
    <border>
      <left/>
      <right style="medium">
        <color rgb="FF000000"/>
      </right>
      <top style="thin">
        <color theme="5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  <border>
      <right/>
      <top/>
      <bottom style="thin">
        <color rgb="FF7F7F7F"/>
      </bottom>
    </border>
    <border>
      <left style="thick">
        <color rgb="FF000000"/>
      </left>
      <right style="double">
        <color rgb="FF3F3F3F"/>
      </right>
      <top/>
      <bottom style="double">
        <color rgb="FF3F3F3F"/>
      </bottom>
    </border>
    <border>
      <left style="double">
        <color rgb="FF3F3F3F"/>
      </left>
      <right style="thick">
        <color rgb="FF000000"/>
      </right>
      <top/>
      <bottom style="double">
        <color rgb="FF3F3F3F"/>
      </bottom>
    </border>
    <border>
      <left/>
      <top/>
      <bottom style="thin">
        <color theme="5"/>
      </bottom>
    </border>
    <border>
      <right/>
      <top/>
      <bottom style="thin">
        <color theme="5"/>
      </bottom>
    </border>
    <border>
      <left style="thin">
        <color theme="5"/>
      </left>
      <top style="thin">
        <color theme="5"/>
      </top>
      <bottom style="thin">
        <color theme="5"/>
      </bottom>
    </border>
    <border>
      <left style="medium">
        <color rgb="FF000000"/>
      </left>
      <top style="thin">
        <color theme="5"/>
      </top>
      <bottom/>
    </border>
    <border>
      <right/>
      <top style="thin">
        <color theme="5"/>
      </top>
      <bottom/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FF0000"/>
      </left>
      <top style="thick">
        <color rgb="FFFF0000"/>
      </top>
    </border>
    <border>
      <left style="thick">
        <color rgb="FF000000"/>
      </left>
      <right style="double">
        <color rgb="FF3F3F3F"/>
      </right>
      <top style="double">
        <color rgb="FF3F3F3F"/>
      </top>
      <bottom/>
    </border>
    <border>
      <top style="thick">
        <color rgb="FFFF0000"/>
      </top>
    </border>
    <border>
      <left style="double">
        <color rgb="FF3F3F3F"/>
      </left>
      <right style="thick">
        <color rgb="FF000000"/>
      </right>
      <top style="double">
        <color rgb="FF3F3F3F"/>
      </top>
      <bottom/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000000"/>
      </left>
      <right style="thin">
        <color rgb="FF7F7F7F"/>
      </right>
      <top style="thick">
        <color rgb="FF000000"/>
      </top>
      <bottom style="thin">
        <color rgb="FF7F7F7F"/>
      </bottom>
    </border>
    <border>
      <left style="thin">
        <color rgb="FF7F7F7F"/>
      </left>
      <top style="thin">
        <color rgb="FF7F7F7F"/>
      </top>
      <bottom/>
    </border>
    <border>
      <top style="thin">
        <color rgb="FF7F7F7F"/>
      </top>
      <bottom/>
    </border>
    <border>
      <right/>
      <top style="thin">
        <color rgb="FF7F7F7F"/>
      </top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double">
        <color rgb="FFFF8001"/>
      </bottom>
    </border>
    <border>
      <bottom style="double">
        <color rgb="FFFF800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top style="thin">
        <color theme="5"/>
      </top>
      <bottom style="thin">
        <color theme="5"/>
      </bottom>
    </border>
    <border>
      <top style="medium">
        <color rgb="FFFFFF00"/>
      </top>
      <bottom style="medium">
        <color rgb="FFFFFF00"/>
      </bottom>
    </border>
    <border>
      <top style="thin">
        <color theme="5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/>
      <bottom style="medium">
        <color rgb="FF000000"/>
      </bottom>
    </border>
  </borders>
  <cellStyleXfs count="1">
    <xf borderId="0" fillId="0" fontId="0" numFmtId="0" applyAlignment="1" applyFont="1"/>
  </cellStyleXfs>
  <cellXfs count="4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1" numFmtId="0" xfId="0" applyFont="1"/>
    <xf borderId="0" fillId="2" fontId="4" numFmtId="0" xfId="0" applyFill="1" applyFont="1"/>
    <xf borderId="0" fillId="0" fontId="5" numFmtId="164" xfId="0" applyFont="1" applyNumberFormat="1"/>
    <xf borderId="3" fillId="3" fontId="6" numFmtId="0" xfId="0" applyBorder="1" applyFill="1" applyFont="1"/>
    <xf borderId="0" fillId="0" fontId="7" numFmtId="0" xfId="0" applyAlignment="1" applyFont="1">
      <alignment readingOrder="0"/>
    </xf>
    <xf borderId="3" fillId="4" fontId="6" numFmtId="0" xfId="0" applyBorder="1" applyFill="1" applyFont="1"/>
    <xf borderId="3" fillId="5" fontId="8" numFmtId="0" xfId="0" applyBorder="1" applyFill="1" applyFont="1"/>
    <xf borderId="0" fillId="0" fontId="7" numFmtId="0" xfId="0" applyAlignment="1" applyFont="1">
      <alignment horizontal="center" readingOrder="0"/>
    </xf>
    <xf borderId="4" fillId="6" fontId="9" numFmtId="0" xfId="0" applyBorder="1" applyFill="1" applyFont="1"/>
    <xf borderId="5" fillId="0" fontId="1" numFmtId="0" xfId="0" applyAlignment="1" applyBorder="1" applyFont="1">
      <alignment horizontal="center" readingOrder="0"/>
    </xf>
    <xf borderId="6" fillId="6" fontId="9" numFmtId="2" xfId="0" applyBorder="1" applyFont="1" applyNumberFormat="1"/>
    <xf borderId="7" fillId="0" fontId="2" numFmtId="0" xfId="0" applyBorder="1" applyFont="1"/>
    <xf borderId="5" fillId="0" fontId="10" numFmtId="0" xfId="0" applyAlignment="1" applyBorder="1" applyFont="1">
      <alignment horizontal="center" readingOrder="0"/>
    </xf>
    <xf borderId="8" fillId="0" fontId="2" numFmtId="0" xfId="0" applyBorder="1" applyFont="1"/>
    <xf borderId="7" fillId="0" fontId="5" numFmtId="0" xfId="0" applyBorder="1" applyFont="1"/>
    <xf borderId="0" fillId="0" fontId="4" numFmtId="0" xfId="0" applyAlignment="1" applyFont="1">
      <alignment readingOrder="0"/>
    </xf>
    <xf borderId="5" fillId="0" fontId="10" numFmtId="0" xfId="0" applyAlignment="1" applyBorder="1" applyFont="1">
      <alignment horizontal="center"/>
    </xf>
    <xf borderId="3" fillId="5" fontId="8" numFmtId="164" xfId="0" applyBorder="1" applyFont="1" applyNumberFormat="1"/>
    <xf borderId="5" fillId="7" fontId="1" numFmtId="0" xfId="0" applyAlignment="1" applyBorder="1" applyFill="1" applyFont="1">
      <alignment horizontal="center"/>
    </xf>
    <xf borderId="3" fillId="3" fontId="11" numFmtId="0" xfId="0" applyBorder="1" applyFont="1"/>
    <xf borderId="3" fillId="5" fontId="8" numFmtId="165" xfId="0" applyBorder="1" applyFont="1" applyNumberFormat="1"/>
    <xf borderId="9" fillId="8" fontId="8" numFmtId="0" xfId="0" applyAlignment="1" applyBorder="1" applyFill="1" applyFont="1">
      <alignment horizontal="center"/>
    </xf>
    <xf borderId="10" fillId="0" fontId="12" numFmtId="0" xfId="0" applyAlignment="1" applyBorder="1" applyFont="1">
      <alignment horizontal="center" shrinkToFit="0" wrapText="1"/>
    </xf>
    <xf borderId="11" fillId="0" fontId="2" numFmtId="0" xfId="0" applyBorder="1" applyFont="1"/>
    <xf borderId="3" fillId="3" fontId="6" numFmtId="0" xfId="0" applyAlignment="1" applyBorder="1" applyFont="1">
      <alignment shrinkToFit="0" wrapText="1"/>
    </xf>
    <xf borderId="0" fillId="0" fontId="5" numFmtId="0" xfId="0" applyAlignment="1" applyFont="1">
      <alignment horizontal="center"/>
    </xf>
    <xf borderId="6" fillId="6" fontId="9" numFmtId="166" xfId="0" applyBorder="1" applyFont="1" applyNumberFormat="1"/>
    <xf borderId="12" fillId="0" fontId="2" numFmtId="0" xfId="0" applyBorder="1" applyFont="1"/>
    <xf borderId="13" fillId="0" fontId="5" numFmtId="0" xfId="0" applyAlignment="1" applyBorder="1" applyFont="1">
      <alignment horizontal="center"/>
    </xf>
    <xf borderId="14" fillId="3" fontId="11" numFmtId="0" xfId="0" applyBorder="1" applyFont="1"/>
    <xf borderId="15" fillId="4" fontId="1" numFmtId="166" xfId="0" applyAlignment="1" applyBorder="1" applyFont="1" applyNumberFormat="1">
      <alignment readingOrder="0"/>
    </xf>
    <xf borderId="6" fillId="6" fontId="13" numFmtId="2" xfId="0" applyAlignment="1" applyBorder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14" numFmtId="0" xfId="0" applyFont="1"/>
    <xf borderId="13" fillId="0" fontId="1" numFmtId="0" xfId="0" applyAlignment="1" applyBorder="1" applyFont="1">
      <alignment horizontal="center"/>
    </xf>
    <xf borderId="10" fillId="0" fontId="5" numFmtId="0" xfId="0" applyBorder="1" applyFont="1"/>
    <xf borderId="16" fillId="7" fontId="1" numFmtId="0" xfId="0" applyAlignment="1" applyBorder="1" applyFont="1">
      <alignment horizontal="center"/>
    </xf>
    <xf borderId="17" fillId="0" fontId="2" numFmtId="0" xfId="0" applyBorder="1" applyFont="1"/>
    <xf borderId="18" fillId="8" fontId="9" numFmtId="0" xfId="0" applyAlignment="1" applyBorder="1" applyFont="1">
      <alignment horizontal="center"/>
    </xf>
    <xf borderId="3" fillId="5" fontId="8" numFmtId="10" xfId="0" applyBorder="1" applyFont="1" applyNumberFormat="1"/>
    <xf borderId="0" fillId="0" fontId="5" numFmtId="166" xfId="0" applyFont="1" applyNumberFormat="1"/>
    <xf borderId="19" fillId="0" fontId="2" numFmtId="0" xfId="0" applyBorder="1" applyFont="1"/>
    <xf borderId="3" fillId="3" fontId="11" numFmtId="165" xfId="0" applyBorder="1" applyFont="1" applyNumberFormat="1"/>
    <xf borderId="20" fillId="0" fontId="2" numFmtId="0" xfId="0" applyBorder="1" applyFont="1"/>
    <xf borderId="3" fillId="4" fontId="6" numFmtId="2" xfId="0" applyBorder="1" applyFont="1" applyNumberFormat="1"/>
    <xf borderId="13" fillId="0" fontId="5" numFmtId="165" xfId="0" applyBorder="1" applyFont="1" applyNumberFormat="1"/>
    <xf borderId="21" fillId="3" fontId="11" numFmtId="0" xfId="0" applyBorder="1" applyFont="1"/>
    <xf borderId="13" fillId="0" fontId="5" numFmtId="166" xfId="0" applyBorder="1" applyFont="1" applyNumberFormat="1"/>
    <xf borderId="22" fillId="4" fontId="1" numFmtId="166" xfId="0" applyBorder="1" applyFont="1" applyNumberFormat="1"/>
    <xf borderId="6" fillId="6" fontId="13" numFmtId="166" xfId="0" applyAlignment="1" applyBorder="1" applyFont="1" applyNumberFormat="1">
      <alignment readingOrder="0"/>
    </xf>
    <xf borderId="3" fillId="5" fontId="8" numFmtId="1" xfId="0" applyBorder="1" applyFont="1" applyNumberFormat="1"/>
    <xf borderId="10" fillId="0" fontId="1" numFmtId="0" xfId="0" applyBorder="1" applyFont="1"/>
    <xf borderId="23" fillId="3" fontId="11" numFmtId="0" xfId="0" applyBorder="1" applyFont="1"/>
    <xf borderId="24" fillId="9" fontId="15" numFmtId="0" xfId="0" applyBorder="1" applyFill="1" applyFont="1"/>
    <xf borderId="25" fillId="4" fontId="1" numFmtId="10" xfId="0" applyBorder="1" applyFont="1" applyNumberFormat="1"/>
    <xf borderId="0" fillId="0" fontId="1" numFmtId="166" xfId="0" applyFont="1" applyNumberFormat="1"/>
    <xf borderId="13" fillId="0" fontId="1" numFmtId="166" xfId="0" applyBorder="1" applyFont="1" applyNumberFormat="1"/>
    <xf borderId="26" fillId="5" fontId="8" numFmtId="0" xfId="0" applyAlignment="1" applyBorder="1" applyFont="1">
      <alignment shrinkToFit="0" wrapText="1"/>
    </xf>
    <xf borderId="22" fillId="4" fontId="1" numFmtId="166" xfId="0" applyAlignment="1" applyBorder="1" applyFont="1" applyNumberFormat="1">
      <alignment readingOrder="0"/>
    </xf>
    <xf borderId="27" fillId="8" fontId="8" numFmtId="0" xfId="0" applyBorder="1" applyFont="1"/>
    <xf borderId="28" fillId="8" fontId="9" numFmtId="165" xfId="0" applyBorder="1" applyFont="1" applyNumberFormat="1"/>
    <xf borderId="3" fillId="5" fontId="8" numFmtId="2" xfId="0" applyBorder="1" applyFont="1" applyNumberFormat="1"/>
    <xf borderId="25" fillId="5" fontId="8" numFmtId="166" xfId="0" applyBorder="1" applyFont="1" applyNumberFormat="1"/>
    <xf borderId="29" fillId="8" fontId="8" numFmtId="0" xfId="0" applyAlignment="1" applyBorder="1" applyFont="1">
      <alignment horizontal="left"/>
    </xf>
    <xf borderId="30" fillId="0" fontId="2" numFmtId="0" xfId="0" applyBorder="1" applyFont="1"/>
    <xf borderId="31" fillId="5" fontId="8" numFmtId="0" xfId="0" applyBorder="1" applyFont="1"/>
    <xf borderId="32" fillId="8" fontId="1" numFmtId="0" xfId="0" applyBorder="1" applyFont="1"/>
    <xf borderId="33" fillId="5" fontId="8" numFmtId="167" xfId="0" applyBorder="1" applyFont="1" applyNumberFormat="1"/>
    <xf borderId="3" fillId="5" fontId="16" numFmtId="0" xfId="0" applyBorder="1" applyFont="1"/>
    <xf borderId="34" fillId="6" fontId="9" numFmtId="0" xfId="0" applyBorder="1" applyFont="1"/>
    <xf borderId="35" fillId="6" fontId="9" numFmtId="2" xfId="0" applyBorder="1" applyFont="1" applyNumberFormat="1"/>
    <xf borderId="25" fillId="4" fontId="1" numFmtId="166" xfId="0" applyBorder="1" applyFont="1" applyNumberFormat="1"/>
    <xf borderId="3" fillId="5" fontId="8" numFmtId="168" xfId="0" applyBorder="1" applyFont="1" applyNumberFormat="1"/>
    <xf borderId="14" fillId="10" fontId="1" numFmtId="0" xfId="0" applyBorder="1" applyFill="1" applyFont="1"/>
    <xf borderId="28" fillId="8" fontId="17" numFmtId="10" xfId="0" applyBorder="1" applyFont="1" applyNumberFormat="1"/>
    <xf borderId="36" fillId="11" fontId="1" numFmtId="0" xfId="0" applyBorder="1" applyFill="1" applyFont="1"/>
    <xf borderId="37" fillId="11" fontId="1" numFmtId="169" xfId="0" applyAlignment="1" applyBorder="1" applyFont="1" applyNumberFormat="1">
      <alignment readingOrder="0"/>
    </xf>
    <xf borderId="38" fillId="10" fontId="1" numFmtId="164" xfId="0" applyBorder="1" applyFont="1" applyNumberFormat="1"/>
    <xf borderId="39" fillId="10" fontId="1" numFmtId="164" xfId="0" applyBorder="1" applyFont="1" applyNumberFormat="1"/>
    <xf borderId="3" fillId="3" fontId="11" numFmtId="10" xfId="0" applyBorder="1" applyFont="1" applyNumberFormat="1"/>
    <xf borderId="40" fillId="6" fontId="9" numFmtId="0" xfId="0" applyBorder="1" applyFont="1"/>
    <xf borderId="0" fillId="0" fontId="1" numFmtId="166" xfId="0" applyAlignment="1" applyFont="1" applyNumberFormat="1">
      <alignment readingOrder="0"/>
    </xf>
    <xf borderId="0" fillId="0" fontId="4" numFmtId="0" xfId="0" applyFont="1"/>
    <xf borderId="10" fillId="0" fontId="4" numFmtId="0" xfId="0" applyBorder="1" applyFont="1"/>
    <xf borderId="3" fillId="4" fontId="6" numFmtId="10" xfId="0" applyBorder="1" applyFont="1" applyNumberFormat="1"/>
    <xf borderId="41" fillId="6" fontId="9" numFmtId="166" xfId="0" applyBorder="1" applyFont="1" applyNumberFormat="1"/>
    <xf borderId="42" fillId="11" fontId="1" numFmtId="0" xfId="0" applyBorder="1" applyFont="1"/>
    <xf borderId="43" fillId="11" fontId="1" numFmtId="4" xfId="0" applyBorder="1" applyFont="1" applyNumberFormat="1"/>
    <xf borderId="44" fillId="6" fontId="9" numFmtId="0" xfId="0" applyBorder="1" applyFont="1"/>
    <xf borderId="45" fillId="6" fontId="9" numFmtId="166" xfId="0" applyBorder="1" applyFont="1" applyNumberFormat="1"/>
    <xf borderId="42" fillId="11" fontId="1" numFmtId="0" xfId="0" applyAlignment="1" applyBorder="1" applyFont="1">
      <alignment readingOrder="0"/>
    </xf>
    <xf borderId="16" fillId="3" fontId="11" numFmtId="0" xfId="0" applyBorder="1" applyFont="1"/>
    <xf borderId="17" fillId="4" fontId="1" numFmtId="169" xfId="0" applyAlignment="1" applyBorder="1" applyFont="1" applyNumberFormat="1">
      <alignment readingOrder="0"/>
    </xf>
    <xf borderId="43" fillId="11" fontId="1" numFmtId="166" xfId="0" applyBorder="1" applyFont="1" applyNumberFormat="1"/>
    <xf borderId="46" fillId="11" fontId="1" numFmtId="0" xfId="0" applyBorder="1" applyFont="1"/>
    <xf borderId="47" fillId="11" fontId="1" numFmtId="0" xfId="0" applyBorder="1" applyFont="1"/>
    <xf borderId="28" fillId="8" fontId="9" numFmtId="170" xfId="0" applyBorder="1" applyFont="1" applyNumberFormat="1"/>
    <xf borderId="3" fillId="4" fontId="6" numFmtId="10" xfId="0" applyAlignment="1" applyBorder="1" applyFont="1" applyNumberFormat="1">
      <alignment readingOrder="0"/>
    </xf>
    <xf borderId="36" fillId="12" fontId="1" numFmtId="0" xfId="0" applyAlignment="1" applyBorder="1" applyFill="1" applyFont="1">
      <alignment readingOrder="0"/>
    </xf>
    <xf borderId="47" fillId="11" fontId="1" numFmtId="166" xfId="0" applyBorder="1" applyFont="1" applyNumberFormat="1"/>
    <xf borderId="37" fillId="12" fontId="1" numFmtId="10" xfId="0" applyAlignment="1" applyBorder="1" applyFont="1" applyNumberFormat="1">
      <alignment readingOrder="0"/>
    </xf>
    <xf borderId="48" fillId="10" fontId="1" numFmtId="0" xfId="0" applyBorder="1" applyFont="1"/>
    <xf borderId="49" fillId="11" fontId="1" numFmtId="0" xfId="0" applyBorder="1" applyFont="1"/>
    <xf borderId="50" fillId="10" fontId="1" numFmtId="164" xfId="0" applyBorder="1" applyFont="1" applyNumberFormat="1"/>
    <xf borderId="51" fillId="10" fontId="1" numFmtId="164" xfId="0" applyBorder="1" applyFont="1" applyNumberFormat="1"/>
    <xf borderId="52" fillId="11" fontId="1" numFmtId="166" xfId="0" applyBorder="1" applyFont="1" applyNumberFormat="1"/>
    <xf borderId="53" fillId="3" fontId="11" numFmtId="0" xfId="0" applyBorder="1" applyFont="1"/>
    <xf borderId="47" fillId="4" fontId="1" numFmtId="10" xfId="0" applyBorder="1" applyFont="1" applyNumberFormat="1"/>
    <xf borderId="46" fillId="13" fontId="1" numFmtId="0" xfId="0" applyBorder="1" applyFill="1" applyFont="1"/>
    <xf borderId="3" fillId="5" fontId="8" numFmtId="169" xfId="0" applyBorder="1" applyFont="1" applyNumberFormat="1"/>
    <xf borderId="47" fillId="13" fontId="1" numFmtId="2" xfId="0" applyBorder="1" applyFont="1" applyNumberFormat="1"/>
    <xf borderId="36" fillId="12" fontId="1" numFmtId="0" xfId="0" applyBorder="1" applyFont="1"/>
    <xf borderId="37" fillId="12" fontId="1" numFmtId="2" xfId="0" applyBorder="1" applyFont="1" applyNumberFormat="1"/>
    <xf borderId="47" fillId="13" fontId="1" numFmtId="166" xfId="0" applyBorder="1" applyFont="1" applyNumberFormat="1"/>
    <xf borderId="49" fillId="13" fontId="1" numFmtId="0" xfId="0" applyBorder="1" applyFont="1"/>
    <xf borderId="37" fillId="11" fontId="1" numFmtId="0" xfId="0" applyAlignment="1" applyBorder="1" applyFont="1">
      <alignment readingOrder="0"/>
    </xf>
    <xf borderId="54" fillId="3" fontId="11" numFmtId="0" xfId="0" applyBorder="1" applyFont="1"/>
    <xf borderId="52" fillId="13" fontId="1" numFmtId="166" xfId="0" applyBorder="1" applyFont="1" applyNumberFormat="1"/>
    <xf borderId="10" fillId="0" fontId="1" numFmtId="0" xfId="0" applyAlignment="1" applyBorder="1" applyFont="1">
      <alignment shrinkToFit="0" wrapText="1"/>
    </xf>
    <xf borderId="55" fillId="0" fontId="4" numFmtId="0" xfId="0" applyBorder="1" applyFont="1"/>
    <xf borderId="13" fillId="0" fontId="1" numFmtId="166" xfId="0" applyAlignment="1" applyBorder="1" applyFont="1" applyNumberFormat="1">
      <alignment readingOrder="0"/>
    </xf>
    <xf borderId="37" fillId="12" fontId="1" numFmtId="166" xfId="0" applyBorder="1" applyFont="1" applyNumberFormat="1"/>
    <xf borderId="56" fillId="3" fontId="6" numFmtId="0" xfId="0" applyBorder="1" applyFont="1"/>
    <xf borderId="57" fillId="4" fontId="6" numFmtId="165" xfId="0" applyAlignment="1" applyBorder="1" applyFont="1" applyNumberFormat="1">
      <alignment readingOrder="0"/>
    </xf>
    <xf borderId="58" fillId="8" fontId="8" numFmtId="0" xfId="0" applyBorder="1" applyFont="1"/>
    <xf borderId="59" fillId="3" fontId="6" numFmtId="0" xfId="0" applyBorder="1" applyFont="1"/>
    <xf borderId="60" fillId="8" fontId="9" numFmtId="165" xfId="0" applyBorder="1" applyFont="1" applyNumberFormat="1"/>
    <xf borderId="61" fillId="8" fontId="1" numFmtId="0" xfId="0" applyBorder="1" applyFont="1"/>
    <xf borderId="62" fillId="3" fontId="6" numFmtId="0" xfId="0" applyBorder="1" applyFont="1"/>
    <xf borderId="62" fillId="4" fontId="6" numFmtId="165" xfId="0" applyBorder="1" applyFont="1" applyNumberFormat="1"/>
    <xf borderId="63" fillId="12" fontId="1" numFmtId="0" xfId="0" applyBorder="1" applyFont="1"/>
    <xf borderId="3" fillId="3" fontId="11" numFmtId="165" xfId="0" applyBorder="1" applyFont="1" applyNumberFormat="1"/>
    <xf borderId="64" fillId="12" fontId="1" numFmtId="2" xfId="0" applyBorder="1" applyFont="1" applyNumberFormat="1"/>
    <xf borderId="50" fillId="10" fontId="1" numFmtId="166" xfId="0" applyBorder="1" applyFont="1" applyNumberFormat="1"/>
    <xf borderId="51" fillId="10" fontId="1" numFmtId="166" xfId="0" applyBorder="1" applyFont="1" applyNumberFormat="1"/>
    <xf borderId="65" fillId="8" fontId="8" numFmtId="0" xfId="0" applyBorder="1" applyFont="1"/>
    <xf borderId="3" fillId="5" fontId="8" numFmtId="4" xfId="0" applyBorder="1" applyFont="1" applyNumberFormat="1"/>
    <xf borderId="66" fillId="8" fontId="17" numFmtId="10" xfId="0" applyBorder="1" applyFont="1" applyNumberFormat="1"/>
    <xf borderId="67" fillId="8" fontId="1" numFmtId="0" xfId="0" applyBorder="1" applyFont="1"/>
    <xf borderId="68" fillId="5" fontId="8" numFmtId="0" xfId="0" applyBorder="1" applyFont="1"/>
    <xf borderId="3" fillId="3" fontId="11" numFmtId="164" xfId="0" applyBorder="1" applyFont="1" applyNumberFormat="1"/>
    <xf borderId="54" fillId="5" fontId="8" numFmtId="0" xfId="0" applyBorder="1" applyFont="1"/>
    <xf borderId="54" fillId="5" fontId="8" numFmtId="4" xfId="0" applyBorder="1" applyFont="1" applyNumberFormat="1"/>
    <xf borderId="63" fillId="13" fontId="1" numFmtId="0" xfId="0" applyBorder="1" applyFont="1"/>
    <xf borderId="69" fillId="14" fontId="18" numFmtId="0" xfId="0" applyAlignment="1" applyBorder="1" applyFill="1" applyFont="1">
      <alignment horizontal="center"/>
    </xf>
    <xf borderId="70" fillId="0" fontId="2" numFmtId="0" xfId="0" applyBorder="1" applyFont="1"/>
    <xf borderId="71" fillId="0" fontId="2" numFmtId="0" xfId="0" applyBorder="1" applyFont="1"/>
    <xf borderId="64" fillId="13" fontId="1" numFmtId="10" xfId="0" applyBorder="1" applyFont="1" applyNumberFormat="1"/>
    <xf borderId="56" fillId="5" fontId="8" numFmtId="0" xfId="0" applyBorder="1" applyFont="1"/>
    <xf borderId="59" fillId="5" fontId="8" numFmtId="164" xfId="0" applyBorder="1" applyFont="1" applyNumberFormat="1"/>
    <xf borderId="36" fillId="13" fontId="1" numFmtId="0" xfId="0" applyBorder="1" applyFont="1"/>
    <xf borderId="37" fillId="13" fontId="1" numFmtId="2" xfId="0" applyBorder="1" applyFont="1" applyNumberFormat="1"/>
    <xf borderId="0" fillId="0" fontId="11" numFmtId="0" xfId="0" applyFont="1"/>
    <xf borderId="56" fillId="3" fontId="11" numFmtId="0" xfId="0" applyBorder="1" applyFont="1"/>
    <xf borderId="59" fillId="4" fontId="6" numFmtId="164" xfId="0" applyAlignment="1" applyBorder="1" applyFont="1" applyNumberFormat="1">
      <alignment readingOrder="0"/>
    </xf>
    <xf borderId="24" fillId="14" fontId="18" numFmtId="0" xfId="0" applyBorder="1" applyFont="1"/>
    <xf borderId="37" fillId="13" fontId="1" numFmtId="166" xfId="0" applyBorder="1" applyFont="1" applyNumberFormat="1"/>
    <xf borderId="72" fillId="6" fontId="9" numFmtId="4" xfId="0" applyBorder="1" applyFont="1" applyNumberFormat="1"/>
    <xf borderId="73" fillId="0" fontId="1" numFmtId="0" xfId="0" applyBorder="1" applyFont="1"/>
    <xf borderId="48" fillId="13" fontId="1" numFmtId="0" xfId="0" applyBorder="1" applyFont="1"/>
    <xf borderId="3" fillId="5" fontId="8" numFmtId="0" xfId="0" applyAlignment="1" applyBorder="1" applyFont="1">
      <alignment shrinkToFit="0" wrapText="1"/>
    </xf>
    <xf borderId="73" fillId="0" fontId="1" numFmtId="0" xfId="0" applyAlignment="1" applyBorder="1" applyFont="1">
      <alignment horizontal="center"/>
    </xf>
    <xf borderId="51" fillId="13" fontId="1" numFmtId="166" xfId="0" applyBorder="1" applyFont="1" applyNumberFormat="1"/>
    <xf borderId="73" fillId="0" fontId="1" numFmtId="0" xfId="0" applyAlignment="1" applyBorder="1" applyFont="1">
      <alignment horizontal="center" readingOrder="0"/>
    </xf>
    <xf borderId="3" fillId="4" fontId="6" numFmtId="9" xfId="0" applyBorder="1" applyFont="1" applyNumberFormat="1"/>
    <xf borderId="62" fillId="3" fontId="11" numFmtId="0" xfId="0" applyBorder="1" applyFont="1"/>
    <xf borderId="62" fillId="4" fontId="6" numFmtId="164" xfId="0" applyAlignment="1" applyBorder="1" applyFont="1" applyNumberFormat="1">
      <alignment readingOrder="0"/>
    </xf>
    <xf borderId="0" fillId="0" fontId="5" numFmtId="171" xfId="0" applyFont="1" applyNumberFormat="1"/>
    <xf borderId="59" fillId="5" fontId="8" numFmtId="10" xfId="0" applyBorder="1" applyFont="1" applyNumberFormat="1"/>
    <xf borderId="62" fillId="4" fontId="6" numFmtId="40" xfId="0" applyBorder="1" applyFont="1" applyNumberFormat="1"/>
    <xf borderId="73" fillId="0" fontId="5" numFmtId="4" xfId="0" applyAlignment="1" applyBorder="1" applyFont="1" applyNumberFormat="1">
      <alignment horizontal="center"/>
    </xf>
    <xf borderId="0" fillId="0" fontId="5" numFmtId="14" xfId="0" applyFont="1" applyNumberFormat="1"/>
    <xf borderId="3" fillId="5" fontId="8" numFmtId="9" xfId="0" applyBorder="1" applyFont="1" applyNumberFormat="1"/>
    <xf borderId="73" fillId="0" fontId="5" numFmtId="4" xfId="0" applyAlignment="1" applyBorder="1" applyFont="1" applyNumberFormat="1">
      <alignment horizontal="center" readingOrder="0"/>
    </xf>
    <xf borderId="74" fillId="12" fontId="1" numFmtId="2" xfId="0" applyBorder="1" applyFont="1" applyNumberFormat="1"/>
    <xf borderId="0" fillId="0" fontId="19" numFmtId="0" xfId="0" applyAlignment="1" applyFont="1">
      <alignment horizontal="center" readingOrder="0" vertical="bottom"/>
    </xf>
    <xf borderId="0" fillId="0" fontId="20" numFmtId="0" xfId="0" applyAlignment="1" applyFont="1">
      <alignment readingOrder="0"/>
    </xf>
    <xf borderId="0" fillId="0" fontId="5" numFmtId="172" xfId="0" applyFont="1" applyNumberFormat="1"/>
    <xf borderId="24" fillId="3" fontId="11" numFmtId="0" xfId="0" applyBorder="1" applyFont="1"/>
    <xf borderId="3" fillId="3" fontId="11" numFmtId="2" xfId="0" applyBorder="1" applyFont="1" applyNumberFormat="1"/>
    <xf borderId="24" fillId="8" fontId="21" numFmtId="0" xfId="0" applyBorder="1" applyFont="1"/>
    <xf borderId="3" fillId="8" fontId="21" numFmtId="2" xfId="0" applyBorder="1" applyFont="1" applyNumberFormat="1"/>
    <xf borderId="64" fillId="13" fontId="1" numFmtId="10" xfId="0" applyAlignment="1" applyBorder="1" applyFont="1" applyNumberFormat="1">
      <alignment readingOrder="0"/>
    </xf>
    <xf borderId="10" fillId="0" fontId="12" numFmtId="0" xfId="0" applyAlignment="1" applyBorder="1" applyFont="1">
      <alignment horizontal="center" readingOrder="0" shrinkToFit="0" wrapText="1"/>
    </xf>
    <xf borderId="3" fillId="8" fontId="8" numFmtId="165" xfId="0" applyBorder="1" applyFont="1" applyNumberFormat="1"/>
    <xf borderId="0" fillId="0" fontId="1" numFmtId="0" xfId="0" applyAlignment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0" fillId="0" fontId="4" numFmtId="165" xfId="0" applyAlignment="1" applyFont="1" applyNumberFormat="1">
      <alignment readingOrder="0"/>
    </xf>
    <xf borderId="10" fillId="0" fontId="1" numFmtId="0" xfId="0" applyAlignment="1" applyBorder="1" applyFont="1">
      <alignment readingOrder="0"/>
    </xf>
    <xf borderId="75" fillId="0" fontId="1" numFmtId="166" xfId="0" applyBorder="1" applyFont="1" applyNumberFormat="1"/>
    <xf borderId="76" fillId="0" fontId="1" numFmtId="10" xfId="0" applyAlignment="1" applyBorder="1" applyFont="1" applyNumberFormat="1">
      <alignment readingOrder="0"/>
    </xf>
    <xf borderId="77" fillId="0" fontId="22" numFmtId="0" xfId="0" applyAlignment="1" applyBorder="1" applyFont="1">
      <alignment horizontal="center" readingOrder="0"/>
    </xf>
    <xf borderId="78" fillId="0" fontId="2" numFmtId="0" xfId="0" applyBorder="1" applyFont="1"/>
    <xf borderId="79" fillId="0" fontId="2" numFmtId="0" xfId="0" applyBorder="1" applyFont="1"/>
    <xf borderId="77" fillId="0" fontId="23" numFmtId="0" xfId="0" applyAlignment="1" applyBorder="1" applyFont="1">
      <alignment horizontal="center"/>
    </xf>
    <xf borderId="80" fillId="0" fontId="2" numFmtId="0" xfId="0" applyBorder="1" applyFont="1"/>
    <xf borderId="81" fillId="0" fontId="2" numFmtId="0" xfId="0" applyBorder="1" applyFont="1"/>
    <xf borderId="24" fillId="5" fontId="8" numFmtId="0" xfId="0" applyBorder="1" applyFont="1"/>
    <xf borderId="82" fillId="8" fontId="8" numFmtId="0" xfId="0" applyAlignment="1" applyBorder="1" applyFont="1">
      <alignment horizontal="center"/>
    </xf>
    <xf borderId="83" fillId="0" fontId="2" numFmtId="0" xfId="0" applyBorder="1" applyFont="1"/>
    <xf borderId="84" fillId="8" fontId="9" numFmtId="0" xfId="0" applyAlignment="1" applyBorder="1" applyFont="1">
      <alignment horizontal="center"/>
    </xf>
    <xf borderId="85" fillId="0" fontId="2" numFmtId="0" xfId="0" applyBorder="1" applyFont="1"/>
    <xf borderId="86" fillId="8" fontId="8" numFmtId="0" xfId="0" applyAlignment="1" applyBorder="1" applyFont="1">
      <alignment horizontal="left"/>
    </xf>
    <xf borderId="87" fillId="8" fontId="9" numFmtId="165" xfId="0" applyBorder="1" applyFont="1" applyNumberFormat="1"/>
    <xf borderId="88" fillId="8" fontId="8" numFmtId="0" xfId="0" applyBorder="1" applyFont="1"/>
    <xf borderId="0" fillId="0" fontId="5" numFmtId="4" xfId="0" applyFont="1" applyNumberFormat="1"/>
    <xf borderId="10" fillId="0" fontId="1" numFmtId="0" xfId="0" applyAlignment="1" applyBorder="1" applyFont="1">
      <alignment readingOrder="0" shrinkToFit="0" wrapText="1"/>
    </xf>
    <xf borderId="89" fillId="8" fontId="8" numFmtId="0" xfId="0" applyAlignment="1" applyBorder="1" applyFont="1">
      <alignment horizontal="left"/>
    </xf>
    <xf borderId="90" fillId="8" fontId="8" numFmtId="0" xfId="0" applyAlignment="1" applyBorder="1" applyFont="1">
      <alignment horizontal="left"/>
    </xf>
    <xf borderId="91" fillId="8" fontId="17" numFmtId="10" xfId="0" applyBorder="1" applyFont="1" applyNumberFormat="1"/>
    <xf borderId="92" fillId="8" fontId="8" numFmtId="0" xfId="0" applyBorder="1" applyFont="1"/>
    <xf borderId="93" fillId="8" fontId="1" numFmtId="0" xfId="0" applyBorder="1" applyFont="1"/>
    <xf borderId="94" fillId="3" fontId="11" numFmtId="0" xfId="0" applyAlignment="1" applyBorder="1" applyFont="1">
      <alignment horizontal="left"/>
    </xf>
    <xf borderId="95" fillId="0" fontId="2" numFmtId="0" xfId="0" applyBorder="1" applyFont="1"/>
    <xf borderId="96" fillId="3" fontId="11" numFmtId="169" xfId="0" applyBorder="1" applyFont="1" applyNumberFormat="1"/>
    <xf borderId="84" fillId="8" fontId="8" numFmtId="0" xfId="0" applyAlignment="1" applyBorder="1" applyFont="1">
      <alignment horizontal="left"/>
    </xf>
    <xf borderId="97" fillId="0" fontId="2" numFmtId="0" xfId="0" applyBorder="1" applyFont="1"/>
    <xf borderId="98" fillId="8" fontId="9" numFmtId="165" xfId="0" applyBorder="1" applyFont="1" applyNumberFormat="1"/>
    <xf borderId="87" fillId="8" fontId="9" numFmtId="169" xfId="0" applyBorder="1" applyFont="1" applyNumberFormat="1"/>
    <xf borderId="87" fillId="8" fontId="17" numFmtId="10" xfId="0" applyBorder="1" applyFont="1" applyNumberFormat="1"/>
    <xf borderId="49" fillId="10" fontId="1" numFmtId="0" xfId="0" applyBorder="1" applyFont="1"/>
    <xf borderId="99" fillId="10" fontId="1" numFmtId="164" xfId="0" applyBorder="1" applyFont="1" applyNumberFormat="1"/>
    <xf borderId="87" fillId="8" fontId="13" numFmtId="170" xfId="0" applyAlignment="1" applyBorder="1" applyFont="1" applyNumberFormat="1">
      <alignment readingOrder="0"/>
    </xf>
    <xf borderId="89" fillId="8" fontId="8" numFmtId="0" xfId="0" applyBorder="1" applyFont="1"/>
    <xf borderId="100" fillId="8" fontId="9" numFmtId="165" xfId="0" applyBorder="1" applyFont="1" applyNumberFormat="1"/>
    <xf borderId="101" fillId="8" fontId="8" numFmtId="0" xfId="0" applyBorder="1" applyFont="1"/>
    <xf borderId="24" fillId="8" fontId="1" numFmtId="0" xfId="0" applyBorder="1" applyFont="1"/>
    <xf borderId="102" fillId="8" fontId="17" numFmtId="10" xfId="0" applyBorder="1" applyFont="1" applyNumberFormat="1"/>
    <xf borderId="77" fillId="0" fontId="1" numFmtId="0" xfId="0" applyAlignment="1" applyBorder="1" applyFont="1">
      <alignment horizontal="center"/>
    </xf>
    <xf borderId="25" fillId="4" fontId="1" numFmtId="166" xfId="0" applyAlignment="1" applyBorder="1" applyFont="1" applyNumberFormat="1">
      <alignment readingOrder="0"/>
    </xf>
    <xf borderId="80" fillId="0" fontId="5" numFmtId="0" xfId="0" applyBorder="1" applyFont="1"/>
    <xf borderId="81" fillId="0" fontId="5" numFmtId="0" xfId="0" applyBorder="1" applyFont="1"/>
    <xf borderId="103" fillId="3" fontId="11" numFmtId="0" xfId="0" applyBorder="1" applyFont="1"/>
    <xf borderId="104" fillId="4" fontId="1" numFmtId="166" xfId="0" applyAlignment="1" applyBorder="1" applyFont="1" applyNumberFormat="1">
      <alignment readingOrder="0"/>
    </xf>
    <xf borderId="104" fillId="4" fontId="1" numFmtId="166" xfId="0" applyBorder="1" applyFont="1" applyNumberFormat="1"/>
    <xf borderId="104" fillId="4" fontId="1" numFmtId="10" xfId="0" applyBorder="1" applyFont="1" applyNumberFormat="1"/>
    <xf borderId="3" fillId="3" fontId="6" numFmtId="165" xfId="0" applyBorder="1" applyFont="1" applyNumberFormat="1"/>
    <xf borderId="3" fillId="5" fontId="8" numFmtId="0" xfId="0" applyAlignment="1" applyBorder="1" applyFont="1">
      <alignment horizontal="center" shrinkToFit="0" wrapText="1"/>
    </xf>
    <xf borderId="105" fillId="5" fontId="8" numFmtId="0" xfId="0" applyAlignment="1" applyBorder="1" applyFont="1">
      <alignment shrinkToFit="0" wrapText="1"/>
    </xf>
    <xf borderId="104" fillId="5" fontId="8" numFmtId="166" xfId="0" applyBorder="1" applyFont="1" applyNumberFormat="1"/>
    <xf borderId="0" fillId="0" fontId="24" numFmtId="0" xfId="0" applyAlignment="1" applyFont="1">
      <alignment readingOrder="0"/>
    </xf>
    <xf borderId="0" fillId="4" fontId="25" numFmtId="0" xfId="0" applyAlignment="1" applyFont="1">
      <alignment readingOrder="0"/>
    </xf>
    <xf borderId="0" fillId="4" fontId="25" numFmtId="166" xfId="0" applyAlignment="1" applyFont="1" applyNumberFormat="1">
      <alignment readingOrder="0"/>
    </xf>
    <xf borderId="0" fillId="4" fontId="26" numFmtId="0" xfId="0" applyAlignment="1" applyFont="1">
      <alignment readingOrder="0"/>
    </xf>
    <xf borderId="106" fillId="5" fontId="8" numFmtId="0" xfId="0" applyBorder="1" applyFont="1"/>
    <xf borderId="0" fillId="0" fontId="26" numFmtId="0" xfId="0" applyAlignment="1" applyFont="1">
      <alignment readingOrder="0"/>
    </xf>
    <xf borderId="107" fillId="5" fontId="8" numFmtId="166" xfId="0" applyBorder="1" applyFont="1" applyNumberFormat="1"/>
    <xf borderId="0" fillId="0" fontId="4" numFmtId="0" xfId="0" applyAlignment="1" applyFont="1">
      <alignment readingOrder="0" shrinkToFit="0" wrapText="1"/>
    </xf>
    <xf borderId="13" fillId="0" fontId="5" numFmtId="164" xfId="0" applyBorder="1" applyFont="1" applyNumberFormat="1"/>
    <xf borderId="108" fillId="11" fontId="27" numFmtId="0" xfId="0" applyAlignment="1" applyBorder="1" applyFont="1">
      <alignment horizontal="center"/>
    </xf>
    <xf borderId="109" fillId="0" fontId="2" numFmtId="0" xfId="0" applyBorder="1" applyFont="1"/>
    <xf borderId="110" fillId="0" fontId="2" numFmtId="0" xfId="0" applyBorder="1" applyFont="1"/>
    <xf borderId="3" fillId="3" fontId="6" numFmtId="10" xfId="0" applyAlignment="1" applyBorder="1" applyFont="1" applyNumberFormat="1">
      <alignment readingOrder="0"/>
    </xf>
    <xf borderId="111" fillId="6" fontId="9" numFmtId="0" xfId="0" applyBorder="1" applyFont="1"/>
    <xf borderId="0" fillId="4" fontId="26" numFmtId="10" xfId="0" applyAlignment="1" applyFont="1" applyNumberFormat="1">
      <alignment readingOrder="0"/>
    </xf>
    <xf borderId="0" fillId="0" fontId="27" numFmtId="0" xfId="0" applyFont="1"/>
    <xf borderId="112" fillId="6" fontId="9" numFmtId="2" xfId="0" applyBorder="1" applyFont="1" applyNumberFormat="1"/>
    <xf borderId="69" fillId="8" fontId="8" numFmtId="0" xfId="0" applyAlignment="1" applyBorder="1" applyFont="1">
      <alignment horizontal="center"/>
    </xf>
    <xf borderId="0" fillId="0" fontId="4" numFmtId="166" xfId="0" applyFont="1" applyNumberFormat="1"/>
    <xf borderId="0" fillId="4" fontId="28" numFmtId="10" xfId="0" applyAlignment="1" applyFont="1" applyNumberFormat="1">
      <alignment readingOrder="0"/>
    </xf>
    <xf borderId="4" fillId="6" fontId="13" numFmtId="0" xfId="0" applyAlignment="1" applyBorder="1" applyFont="1">
      <alignment readingOrder="0"/>
    </xf>
    <xf borderId="6" fillId="4" fontId="29" numFmtId="166" xfId="0" applyAlignment="1" applyBorder="1" applyFont="1" applyNumberFormat="1">
      <alignment readingOrder="0"/>
    </xf>
    <xf borderId="0" fillId="0" fontId="4" numFmtId="10" xfId="0" applyAlignment="1" applyFont="1" applyNumberFormat="1">
      <alignment readingOrder="0"/>
    </xf>
    <xf borderId="113" fillId="8" fontId="9" numFmtId="0" xfId="0" applyAlignment="1" applyBorder="1" applyFont="1">
      <alignment horizontal="center"/>
    </xf>
    <xf borderId="114" fillId="0" fontId="2" numFmtId="0" xfId="0" applyBorder="1" applyFont="1"/>
    <xf borderId="0" fillId="0" fontId="4" numFmtId="10" xfId="0" applyFont="1" applyNumberFormat="1"/>
    <xf borderId="24" fillId="4" fontId="1" numFmtId="0" xfId="0" applyBorder="1" applyFont="1"/>
    <xf borderId="3" fillId="3" fontId="11" numFmtId="9" xfId="0" applyBorder="1" applyFont="1" applyNumberFormat="1"/>
    <xf borderId="3" fillId="4" fontId="6" numFmtId="3" xfId="0" applyBorder="1" applyFont="1" applyNumberFormat="1"/>
    <xf borderId="0" fillId="5" fontId="29" numFmtId="166" xfId="0" applyFont="1" applyNumberFormat="1"/>
    <xf borderId="0" fillId="0" fontId="24" numFmtId="0" xfId="0" applyFont="1"/>
    <xf borderId="3" fillId="4" fontId="6" numFmtId="0" xfId="0" applyAlignment="1" applyBorder="1" applyFont="1">
      <alignment readingOrder="0"/>
    </xf>
    <xf borderId="32" fillId="8" fontId="8" numFmtId="0" xfId="0" applyBorder="1" applyFont="1"/>
    <xf borderId="32" fillId="8" fontId="9" numFmtId="165" xfId="0" applyBorder="1" applyFont="1" applyNumberFormat="1"/>
    <xf borderId="115" fillId="8" fontId="8" numFmtId="0" xfId="0" applyAlignment="1" applyBorder="1" applyFont="1">
      <alignment horizontal="left"/>
    </xf>
    <xf borderId="0" fillId="0" fontId="29" numFmtId="166" xfId="0" applyFont="1" applyNumberFormat="1"/>
    <xf borderId="116" fillId="8" fontId="8" numFmtId="0" xfId="0" applyAlignment="1" applyBorder="1" applyFont="1">
      <alignment horizontal="center"/>
    </xf>
    <xf borderId="117" fillId="0" fontId="2" numFmtId="0" xfId="0" applyBorder="1" applyFont="1"/>
    <xf borderId="0" fillId="15" fontId="4" numFmtId="0" xfId="0" applyFill="1" applyFont="1"/>
    <xf borderId="0" fillId="15" fontId="4" numFmtId="0" xfId="0" applyAlignment="1" applyFont="1">
      <alignment readingOrder="0"/>
    </xf>
    <xf borderId="3" fillId="8" fontId="8" numFmtId="0" xfId="0" applyBorder="1" applyFont="1"/>
    <xf borderId="0" fillId="16" fontId="26" numFmtId="0" xfId="0" applyAlignment="1" applyFill="1" applyFont="1">
      <alignment readingOrder="0" shrinkToFit="0" wrapText="1"/>
    </xf>
    <xf borderId="118" fillId="8" fontId="8" numFmtId="0" xfId="0" applyAlignment="1" applyBorder="1" applyFont="1">
      <alignment horizontal="center"/>
    </xf>
    <xf borderId="3" fillId="8" fontId="8" numFmtId="3" xfId="0" applyBorder="1" applyFont="1" applyNumberFormat="1"/>
    <xf borderId="119" fillId="0" fontId="2" numFmtId="0" xfId="0" applyBorder="1" applyFont="1"/>
    <xf borderId="0" fillId="16" fontId="26" numFmtId="166" xfId="0" applyFont="1" applyNumberFormat="1"/>
    <xf borderId="120" fillId="8" fontId="17" numFmtId="10" xfId="0" applyBorder="1" applyFont="1" applyNumberFormat="1"/>
    <xf borderId="3" fillId="4" fontId="6" numFmtId="165" xfId="0" applyBorder="1" applyFont="1" applyNumberFormat="1"/>
    <xf borderId="32" fillId="8" fontId="17" numFmtId="10" xfId="0" applyBorder="1" applyFont="1" applyNumberFormat="1"/>
    <xf borderId="121" fillId="0" fontId="26" numFmtId="0" xfId="0" applyAlignment="1" applyBorder="1" applyFont="1">
      <alignment readingOrder="0"/>
    </xf>
    <xf borderId="122" fillId="6" fontId="9" numFmtId="0" xfId="0" applyBorder="1" applyFont="1"/>
    <xf borderId="123" fillId="0" fontId="4" numFmtId="0" xfId="0" applyAlignment="1" applyBorder="1" applyFont="1">
      <alignment readingOrder="0"/>
    </xf>
    <xf borderId="123" fillId="0" fontId="4" numFmtId="0" xfId="0" applyBorder="1" applyFont="1"/>
    <xf borderId="123" fillId="0" fontId="26" numFmtId="0" xfId="0" applyAlignment="1" applyBorder="1" applyFont="1">
      <alignment readingOrder="0"/>
    </xf>
    <xf borderId="124" fillId="6" fontId="9" numFmtId="166" xfId="0" applyBorder="1" applyFont="1" applyNumberFormat="1"/>
    <xf borderId="125" fillId="0" fontId="4" numFmtId="0" xfId="0" applyAlignment="1" applyBorder="1" applyFont="1">
      <alignment readingOrder="0"/>
    </xf>
    <xf borderId="82" fillId="8" fontId="8" numFmtId="0" xfId="0" applyAlignment="1" applyBorder="1" applyFont="1">
      <alignment horizontal="center" readingOrder="0"/>
    </xf>
    <xf borderId="126" fillId="0" fontId="4" numFmtId="0" xfId="0" applyAlignment="1" applyBorder="1" applyFont="1">
      <alignment readingOrder="0"/>
    </xf>
    <xf borderId="0" fillId="0" fontId="4" numFmtId="0" xfId="0" applyAlignment="1" applyFont="1">
      <alignment horizontal="right" readingOrder="0"/>
    </xf>
    <xf borderId="127" fillId="0" fontId="4" numFmtId="166" xfId="0" applyAlignment="1" applyBorder="1" applyFont="1" applyNumberFormat="1">
      <alignment readingOrder="0"/>
    </xf>
    <xf borderId="128" fillId="3" fontId="11" numFmtId="0" xfId="0" applyBorder="1" applyFont="1"/>
    <xf borderId="36" fillId="11" fontId="1" numFmtId="0" xfId="0" applyAlignment="1" applyBorder="1" applyFont="1">
      <alignment readingOrder="0"/>
    </xf>
    <xf borderId="84" fillId="8" fontId="13" numFmtId="0" xfId="0" applyAlignment="1" applyBorder="1" applyFont="1">
      <alignment horizontal="center" readingOrder="0"/>
    </xf>
    <xf borderId="129" fillId="4" fontId="1" numFmtId="169" xfId="0" applyAlignment="1" applyBorder="1" applyFont="1" applyNumberFormat="1">
      <alignment readingOrder="0"/>
    </xf>
    <xf borderId="37" fillId="4" fontId="1" numFmtId="169" xfId="0" applyAlignment="1" applyBorder="1" applyFont="1" applyNumberFormat="1">
      <alignment readingOrder="0"/>
    </xf>
    <xf borderId="3" fillId="5" fontId="8" numFmtId="3" xfId="0" applyBorder="1" applyFont="1" applyNumberFormat="1"/>
    <xf borderId="127" fillId="0" fontId="4" numFmtId="0" xfId="0" applyAlignment="1" applyBorder="1" applyFont="1">
      <alignment horizontal="right" readingOrder="0"/>
    </xf>
    <xf borderId="43" fillId="11" fontId="1" numFmtId="0" xfId="0" applyBorder="1" applyFont="1"/>
    <xf borderId="37" fillId="11" fontId="1" numFmtId="0" xfId="0" applyBorder="1" applyFont="1"/>
    <xf borderId="36" fillId="10" fontId="1" numFmtId="0" xfId="0" applyBorder="1" applyFont="1"/>
    <xf borderId="37" fillId="4" fontId="1" numFmtId="10" xfId="0" applyBorder="1" applyFont="1" applyNumberFormat="1"/>
    <xf borderId="37" fillId="10" fontId="1" numFmtId="2" xfId="0" applyBorder="1" applyFont="1" applyNumberFormat="1"/>
    <xf borderId="37" fillId="11" fontId="1" numFmtId="166" xfId="0" applyBorder="1" applyFont="1" applyNumberFormat="1"/>
    <xf borderId="37" fillId="10" fontId="1" numFmtId="166" xfId="0" applyBorder="1" applyFont="1" applyNumberFormat="1"/>
    <xf borderId="96" fillId="3" fontId="11" numFmtId="169" xfId="0" applyAlignment="1" applyBorder="1" applyFont="1" applyNumberFormat="1">
      <alignment readingOrder="0"/>
    </xf>
    <xf borderId="36" fillId="10" fontId="1" numFmtId="0" xfId="0" applyAlignment="1" applyBorder="1" applyFont="1">
      <alignment readingOrder="0"/>
    </xf>
    <xf borderId="48" fillId="11" fontId="1" numFmtId="0" xfId="0" applyBorder="1" applyFont="1"/>
    <xf borderId="94" fillId="3" fontId="11" numFmtId="0" xfId="0" applyAlignment="1" applyBorder="1" applyFont="1">
      <alignment horizontal="left" readingOrder="0"/>
    </xf>
    <xf borderId="130" fillId="0" fontId="26" numFmtId="0" xfId="0" applyAlignment="1" applyBorder="1" applyFont="1">
      <alignment readingOrder="0"/>
    </xf>
    <xf borderId="131" fillId="0" fontId="24" numFmtId="0" xfId="0" applyBorder="1" applyFont="1"/>
    <xf borderId="96" fillId="3" fontId="11" numFmtId="10" xfId="0" applyAlignment="1" applyBorder="1" applyFont="1" applyNumberFormat="1">
      <alignment readingOrder="0"/>
    </xf>
    <xf borderId="131" fillId="0" fontId="4" numFmtId="0" xfId="0" applyBorder="1" applyFont="1"/>
    <xf borderId="51" fillId="11" fontId="1" numFmtId="166" xfId="0" applyBorder="1" applyFont="1" applyNumberFormat="1"/>
    <xf borderId="131" fillId="0" fontId="26" numFmtId="0" xfId="0" applyAlignment="1" applyBorder="1" applyFont="1">
      <alignment readingOrder="0"/>
    </xf>
    <xf borderId="132" fillId="0" fontId="24" numFmtId="0" xfId="0" applyBorder="1" applyFont="1"/>
    <xf borderId="63" fillId="10" fontId="1" numFmtId="0" xfId="0" applyBorder="1" applyFont="1"/>
    <xf borderId="133" fillId="3" fontId="11" numFmtId="0" xfId="0" applyBorder="1" applyFont="1"/>
    <xf borderId="74" fillId="10" fontId="1" numFmtId="2" xfId="0" applyBorder="1" applyFont="1" applyNumberFormat="1"/>
    <xf borderId="96" fillId="3" fontId="11" numFmtId="165" xfId="0" applyAlignment="1" applyBorder="1" applyFont="1" applyNumberFormat="1">
      <alignment readingOrder="0"/>
    </xf>
    <xf borderId="32" fillId="8" fontId="9" numFmtId="170" xfId="0" applyBorder="1" applyFont="1" applyNumberFormat="1"/>
    <xf borderId="69" fillId="11" fontId="27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166" xfId="0" applyAlignment="1" applyFont="1" applyNumberFormat="1">
      <alignment readingOrder="0"/>
    </xf>
    <xf borderId="61" fillId="8" fontId="8" numFmtId="0" xfId="0" applyBorder="1" applyFont="1"/>
    <xf borderId="61" fillId="8" fontId="9" numFmtId="165" xfId="0" applyBorder="1" applyFont="1" applyNumberFormat="1"/>
    <xf borderId="3" fillId="17" fontId="6" numFmtId="0" xfId="0" applyBorder="1" applyFill="1" applyFont="1"/>
    <xf borderId="24" fillId="8" fontId="8" numFmtId="0" xfId="0" applyBorder="1" applyFont="1"/>
    <xf borderId="24" fillId="8" fontId="17" numFmtId="10" xfId="0" applyBorder="1" applyFont="1" applyNumberFormat="1"/>
    <xf borderId="72" fillId="6" fontId="9" numFmtId="0" xfId="0" applyBorder="1" applyFont="1"/>
    <xf borderId="72" fillId="6" fontId="9" numFmtId="10" xfId="0" applyBorder="1" applyFont="1" applyNumberFormat="1"/>
    <xf borderId="134" fillId="4" fontId="6" numFmtId="165" xfId="0" applyAlignment="1" applyBorder="1" applyFont="1" applyNumberFormat="1">
      <alignment horizontal="center"/>
    </xf>
    <xf borderId="135" fillId="0" fontId="2" numFmtId="0" xfId="0" applyBorder="1" applyFont="1"/>
    <xf borderId="136" fillId="0" fontId="2" numFmtId="0" xfId="0" applyBorder="1" applyFont="1"/>
    <xf borderId="3" fillId="17" fontId="11" numFmtId="0" xfId="0" applyBorder="1" applyFont="1"/>
    <xf borderId="137" fillId="8" fontId="8" numFmtId="165" xfId="0" applyAlignment="1" applyBorder="1" applyFont="1" applyNumberFormat="1">
      <alignment horizontal="center"/>
    </xf>
    <xf borderId="138" fillId="0" fontId="2" numFmtId="0" xfId="0" applyBorder="1" applyFont="1"/>
    <xf borderId="24" fillId="8" fontId="17" numFmtId="0" xfId="0" applyBorder="1" applyFont="1"/>
    <xf borderId="139" fillId="8" fontId="30" numFmtId="10" xfId="0" applyBorder="1" applyFont="1" applyNumberFormat="1"/>
    <xf borderId="0" fillId="0" fontId="31" numFmtId="0" xfId="0" applyFont="1"/>
    <xf borderId="73" fillId="0" fontId="5" numFmtId="4" xfId="0" applyAlignment="1" applyBorder="1" applyFont="1" applyNumberFormat="1">
      <alignment horizontal="center" vertical="center"/>
    </xf>
    <xf borderId="0" fillId="0" fontId="5" numFmtId="4" xfId="0" applyAlignment="1" applyFont="1" applyNumberFormat="1">
      <alignment horizontal="center"/>
    </xf>
    <xf borderId="3" fillId="5" fontId="8" numFmtId="0" xfId="0" applyAlignment="1" applyBorder="1" applyFont="1">
      <alignment horizontal="center"/>
    </xf>
    <xf borderId="3" fillId="18" fontId="32" numFmtId="165" xfId="0" applyAlignment="1" applyBorder="1" applyFill="1" applyFont="1" applyNumberFormat="1">
      <alignment readingOrder="0"/>
    </xf>
    <xf borderId="0" fillId="0" fontId="5" numFmtId="165" xfId="0" applyFont="1" applyNumberFormat="1"/>
    <xf borderId="3" fillId="18" fontId="33" numFmtId="173" xfId="0" applyBorder="1" applyFont="1" applyNumberFormat="1"/>
    <xf borderId="3" fillId="3" fontId="11" numFmtId="9" xfId="0" applyAlignment="1" applyBorder="1" applyFont="1" applyNumberFormat="1">
      <alignment readingOrder="0"/>
    </xf>
    <xf borderId="3" fillId="3" fontId="11" numFmtId="0" xfId="0" applyAlignment="1" applyBorder="1" applyFont="1">
      <alignment shrinkToFit="0" wrapText="1"/>
    </xf>
    <xf borderId="3" fillId="3" fontId="11" numFmtId="3" xfId="0" applyBorder="1" applyFont="1" applyNumberFormat="1"/>
    <xf borderId="3" fillId="18" fontId="33" numFmtId="165" xfId="0" applyBorder="1" applyFont="1" applyNumberFormat="1"/>
    <xf borderId="0" fillId="0" fontId="5" numFmtId="10" xfId="0" applyFont="1" applyNumberFormat="1"/>
    <xf borderId="68" fillId="3" fontId="11" numFmtId="0" xfId="0" applyBorder="1" applyFont="1"/>
    <xf borderId="3" fillId="3" fontId="11" numFmtId="168" xfId="0" applyBorder="1" applyFont="1" applyNumberFormat="1"/>
    <xf borderId="140" fillId="0" fontId="30" numFmtId="0" xfId="0" applyBorder="1" applyFont="1"/>
    <xf borderId="3" fillId="5" fontId="30" numFmtId="0" xfId="0" applyAlignment="1" applyBorder="1" applyFont="1">
      <alignment shrinkToFit="0" wrapText="1"/>
    </xf>
    <xf borderId="3" fillId="5" fontId="30" numFmtId="165" xfId="0" applyBorder="1" applyFont="1" applyNumberFormat="1"/>
    <xf borderId="0" fillId="0" fontId="1" numFmtId="0" xfId="0" applyAlignment="1" applyFont="1">
      <alignment shrinkToFit="0" wrapText="1"/>
    </xf>
    <xf borderId="0" fillId="0" fontId="34" numFmtId="0" xfId="0" applyFont="1"/>
    <xf borderId="3" fillId="5" fontId="30" numFmtId="0" xfId="0" applyBorder="1" applyFont="1"/>
    <xf borderId="0" fillId="0" fontId="35" numFmtId="0" xfId="0" applyAlignment="1" applyFont="1">
      <alignment horizontal="center"/>
    </xf>
    <xf borderId="3" fillId="5" fontId="36" numFmtId="0" xfId="0" applyBorder="1" applyFont="1"/>
    <xf borderId="3" fillId="5" fontId="36" numFmtId="10" xfId="0" applyBorder="1" applyFont="1" applyNumberFormat="1"/>
    <xf borderId="141" fillId="0" fontId="1" numFmtId="0" xfId="0" applyAlignment="1" applyBorder="1" applyFont="1">
      <alignment horizontal="center" readingOrder="0"/>
    </xf>
    <xf borderId="141" fillId="0" fontId="5" numFmtId="4" xfId="0" applyAlignment="1" applyBorder="1" applyFont="1" applyNumberFormat="1">
      <alignment horizontal="center" readingOrder="0"/>
    </xf>
    <xf borderId="141" fillId="0" fontId="5" numFmtId="4" xfId="0" applyAlignment="1" applyBorder="1" applyFont="1" applyNumberFormat="1">
      <alignment horizontal="center"/>
    </xf>
    <xf borderId="142" fillId="19" fontId="5" numFmtId="0" xfId="0" applyBorder="1" applyFill="1" applyFont="1"/>
    <xf borderId="141" fillId="0" fontId="1" numFmtId="0" xfId="0" applyAlignment="1" applyBorder="1" applyFont="1">
      <alignment horizontal="center"/>
    </xf>
    <xf borderId="142" fillId="19" fontId="5" numFmtId="0" xfId="0" applyAlignment="1" applyBorder="1" applyFont="1">
      <alignment horizontal="center"/>
    </xf>
    <xf borderId="69" fillId="20" fontId="27" numFmtId="0" xfId="0" applyAlignment="1" applyBorder="1" applyFill="1" applyFont="1">
      <alignment horizontal="center"/>
    </xf>
    <xf borderId="69" fillId="21" fontId="37" numFmtId="0" xfId="0" applyAlignment="1" applyBorder="1" applyFill="1" applyFont="1">
      <alignment horizontal="center"/>
    </xf>
    <xf borderId="24" fillId="9" fontId="38" numFmtId="0" xfId="0" applyAlignment="1" applyBorder="1" applyFont="1">
      <alignment readingOrder="0"/>
    </xf>
    <xf borderId="0" fillId="0" fontId="4" numFmtId="165" xfId="0" applyFont="1" applyNumberFormat="1"/>
    <xf borderId="0" fillId="0" fontId="5" numFmtId="170" xfId="0" applyFont="1" applyNumberFormat="1"/>
    <xf borderId="0" fillId="0" fontId="5" numFmtId="165" xfId="0" applyAlignment="1" applyFont="1" applyNumberFormat="1">
      <alignment readingOrder="0"/>
    </xf>
    <xf borderId="24" fillId="22" fontId="5" numFmtId="0" xfId="0" applyBorder="1" applyFill="1" applyFont="1"/>
    <xf borderId="3" fillId="8" fontId="8" numFmtId="170" xfId="0" applyBorder="1" applyFont="1" applyNumberFormat="1"/>
    <xf borderId="87" fillId="8" fontId="9" numFmtId="170" xfId="0" applyBorder="1" applyFont="1" applyNumberFormat="1"/>
    <xf borderId="3" fillId="8" fontId="8" numFmtId="0" xfId="0" applyAlignment="1" applyBorder="1" applyFont="1">
      <alignment horizontal="center"/>
    </xf>
    <xf borderId="0" fillId="0" fontId="5" numFmtId="2" xfId="0" applyAlignment="1" applyFont="1" applyNumberFormat="1">
      <alignment horizontal="center"/>
    </xf>
    <xf borderId="3" fillId="8" fontId="8" numFmtId="10" xfId="0" applyBorder="1" applyFont="1" applyNumberFormat="1"/>
    <xf borderId="0" fillId="0" fontId="5" numFmtId="0" xfId="0" applyAlignment="1" applyFont="1">
      <alignment horizontal="left"/>
    </xf>
    <xf borderId="3" fillId="8" fontId="8" numFmtId="2" xfId="0" applyAlignment="1" applyBorder="1" applyFont="1" applyNumberFormat="1">
      <alignment horizontal="center"/>
    </xf>
    <xf borderId="139" fillId="8" fontId="8" numFmtId="10" xfId="0" applyBorder="1" applyFont="1" applyNumberFormat="1"/>
    <xf borderId="77" fillId="0" fontId="26" numFmtId="0" xfId="0" applyAlignment="1" applyBorder="1" applyFont="1">
      <alignment readingOrder="0"/>
    </xf>
    <xf borderId="143" fillId="0" fontId="4" numFmtId="0" xfId="0" applyBorder="1" applyFont="1"/>
    <xf borderId="78" fillId="0" fontId="5" numFmtId="0" xfId="0" applyBorder="1" applyFont="1"/>
    <xf borderId="78" fillId="0" fontId="4" numFmtId="0" xfId="0" applyBorder="1" applyFont="1"/>
    <xf borderId="79" fillId="0" fontId="5" numFmtId="0" xfId="0" applyBorder="1" applyFont="1"/>
    <xf borderId="80" fillId="3" fontId="24" numFmtId="0" xfId="0" applyAlignment="1" applyBorder="1" applyFont="1">
      <alignment readingOrder="0"/>
    </xf>
    <xf borderId="0" fillId="3" fontId="24" numFmtId="165" xfId="0" applyAlignment="1" applyFont="1" applyNumberFormat="1">
      <alignment readingOrder="0"/>
    </xf>
    <xf borderId="0" fillId="3" fontId="24" numFmtId="0" xfId="0" applyAlignment="1" applyFont="1">
      <alignment readingOrder="0"/>
    </xf>
    <xf borderId="144" fillId="0" fontId="4" numFmtId="0" xfId="0" applyBorder="1" applyFont="1"/>
    <xf borderId="70" fillId="8" fontId="8" numFmtId="0" xfId="0" applyAlignment="1" applyBorder="1" applyFont="1">
      <alignment horizontal="center" readingOrder="0"/>
    </xf>
    <xf borderId="20" fillId="8" fontId="13" numFmtId="0" xfId="0" applyAlignment="1" applyBorder="1" applyFont="1">
      <alignment horizontal="center" readingOrder="0"/>
    </xf>
    <xf borderId="145" fillId="8" fontId="8" numFmtId="0" xfId="0" applyAlignment="1" applyBorder="1" applyFont="1">
      <alignment horizontal="left"/>
    </xf>
    <xf borderId="80" fillId="0" fontId="24" numFmtId="0" xfId="0" applyBorder="1" applyFont="1"/>
    <xf borderId="117" fillId="8" fontId="8" numFmtId="0" xfId="0" applyAlignment="1" applyBorder="1" applyFont="1">
      <alignment horizontal="left"/>
    </xf>
    <xf borderId="0" fillId="3" fontId="24" numFmtId="10" xfId="0" applyAlignment="1" applyFont="1" applyNumberFormat="1">
      <alignment readingOrder="0"/>
    </xf>
    <xf borderId="0" fillId="3" fontId="24" numFmtId="0" xfId="0" applyFont="1"/>
    <xf borderId="146" fillId="3" fontId="11" numFmtId="0" xfId="0" applyAlignment="1" applyBorder="1" applyFont="1">
      <alignment horizontal="left"/>
    </xf>
    <xf borderId="20" fillId="8" fontId="8" numFmtId="0" xfId="0" applyAlignment="1" applyBorder="1" applyFont="1">
      <alignment horizontal="left"/>
    </xf>
    <xf borderId="80" fillId="23" fontId="39" numFmtId="0" xfId="0" applyAlignment="1" applyBorder="1" applyFill="1" applyFont="1">
      <alignment readingOrder="0"/>
    </xf>
    <xf borderId="0" fillId="23" fontId="39" numFmtId="10" xfId="0" applyAlignment="1" applyFont="1" applyNumberFormat="1">
      <alignment readingOrder="0"/>
    </xf>
    <xf borderId="0" fillId="23" fontId="39" numFmtId="0" xfId="0" applyFont="1"/>
    <xf borderId="80" fillId="0" fontId="4" numFmtId="0" xfId="0" applyBorder="1" applyFont="1"/>
    <xf borderId="80" fillId="23" fontId="40" numFmtId="0" xfId="0" applyAlignment="1" applyBorder="1" applyFont="1">
      <alignment readingOrder="0"/>
    </xf>
    <xf borderId="0" fillId="23" fontId="40" numFmtId="165" xfId="0" applyFont="1" applyNumberFormat="1"/>
    <xf borderId="80" fillId="23" fontId="39" numFmtId="0" xfId="0" applyBorder="1" applyFont="1"/>
    <xf borderId="147" fillId="8" fontId="8" numFmtId="0" xfId="0" applyAlignment="1" applyBorder="1" applyFont="1">
      <alignment horizontal="center"/>
    </xf>
    <xf borderId="148" fillId="23" fontId="40" numFmtId="0" xfId="0" applyAlignment="1" applyBorder="1" applyFont="1">
      <alignment readingOrder="0"/>
    </xf>
    <xf borderId="149" fillId="23" fontId="40" numFmtId="165" xfId="0" applyBorder="1" applyFont="1" applyNumberFormat="1"/>
    <xf borderId="149" fillId="23" fontId="40" numFmtId="0" xfId="0" applyAlignment="1" applyBorder="1" applyFont="1">
      <alignment readingOrder="0"/>
    </xf>
    <xf borderId="150" fillId="0" fontId="4" numFmtId="0" xfId="0" applyBorder="1" applyFont="1"/>
    <xf borderId="151" fillId="8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12</xdr:row>
      <xdr:rowOff>57150</xdr:rowOff>
    </xdr:from>
    <xdr:ext cx="466725" cy="1000125"/>
    <xdr:sp>
      <xdr:nvSpPr>
        <xdr:cNvPr id="3" name="Shape 3"/>
        <xdr:cNvSpPr/>
      </xdr:nvSpPr>
      <xdr:spPr>
        <a:xfrm>
          <a:off x="4430700" y="1774200"/>
          <a:ext cx="446100" cy="980700"/>
        </a:xfrm>
        <a:prstGeom prst="up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66675</xdr:colOff>
      <xdr:row>60</xdr:row>
      <xdr:rowOff>447675</xdr:rowOff>
    </xdr:from>
    <xdr:ext cx="657225" cy="247650"/>
    <xdr:sp>
      <xdr:nvSpPr>
        <xdr:cNvPr id="4" name="Shape 4"/>
        <xdr:cNvSpPr/>
      </xdr:nvSpPr>
      <xdr:spPr>
        <a:xfrm>
          <a:off x="2609400" y="1494000"/>
          <a:ext cx="1721100" cy="630600"/>
        </a:xfrm>
        <a:prstGeom prst="leftArrow">
          <a:avLst>
            <a:gd fmla="val 50000" name="adj1"/>
            <a:gd fmla="val 50000" name="adj2"/>
          </a:avLst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38100</xdr:colOff>
      <xdr:row>30</xdr:row>
      <xdr:rowOff>400050</xdr:rowOff>
    </xdr:from>
    <xdr:ext cx="704850" cy="247650"/>
    <xdr:sp>
      <xdr:nvSpPr>
        <xdr:cNvPr id="5" name="Shape 5"/>
        <xdr:cNvSpPr/>
      </xdr:nvSpPr>
      <xdr:spPr>
        <a:xfrm>
          <a:off x="3480025" y="2264550"/>
          <a:ext cx="1090800" cy="440400"/>
        </a:xfrm>
        <a:prstGeom prst="leftArrow">
          <a:avLst>
            <a:gd fmla="val 50000" name="adj1"/>
            <a:gd fmla="val 50000" name="adj2"/>
          </a:avLst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38100</xdr:colOff>
      <xdr:row>5</xdr:row>
      <xdr:rowOff>438150</xdr:rowOff>
    </xdr:from>
    <xdr:ext cx="704850" cy="247650"/>
    <xdr:sp>
      <xdr:nvSpPr>
        <xdr:cNvPr id="6" name="Shape 6"/>
        <xdr:cNvSpPr/>
      </xdr:nvSpPr>
      <xdr:spPr>
        <a:xfrm>
          <a:off x="3339925" y="1864250"/>
          <a:ext cx="1631100" cy="560400"/>
        </a:xfrm>
        <a:prstGeom prst="leftArrow">
          <a:avLst>
            <a:gd fmla="val 50000" name="adj1"/>
            <a:gd fmla="val 50000" name="adj2"/>
          </a:avLst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381000</xdr:colOff>
      <xdr:row>37</xdr:row>
      <xdr:rowOff>19050</xdr:rowOff>
    </xdr:from>
    <xdr:ext cx="466725" cy="1000125"/>
    <xdr:sp>
      <xdr:nvSpPr>
        <xdr:cNvPr id="7" name="Shape 7"/>
        <xdr:cNvSpPr/>
      </xdr:nvSpPr>
      <xdr:spPr>
        <a:xfrm>
          <a:off x="3890300" y="1674125"/>
          <a:ext cx="680400" cy="1230900"/>
        </a:xfrm>
        <a:prstGeom prst="up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323850</xdr:colOff>
      <xdr:row>67</xdr:row>
      <xdr:rowOff>19050</xdr:rowOff>
    </xdr:from>
    <xdr:ext cx="466725" cy="1000125"/>
    <xdr:sp>
      <xdr:nvSpPr>
        <xdr:cNvPr id="8" name="Shape 8"/>
        <xdr:cNvSpPr/>
      </xdr:nvSpPr>
      <xdr:spPr>
        <a:xfrm>
          <a:off x="4370650" y="1574050"/>
          <a:ext cx="620400" cy="1481100"/>
        </a:xfrm>
        <a:prstGeom prst="upArrow">
          <a:avLst>
            <a:gd fmla="val 50000" name="adj1"/>
            <a:gd fmla="val 50000" name="adj2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32.86"/>
    <col customWidth="1" min="2" max="2" width="21.57"/>
    <col customWidth="1" min="3" max="3" width="23.0"/>
    <col customWidth="1" min="4" max="4" width="4.43"/>
    <col customWidth="1" min="5" max="5" width="6.86"/>
    <col customWidth="1" min="6" max="6" width="54.57"/>
    <col customWidth="1" min="7" max="7" width="8.29"/>
    <col customWidth="1" min="8" max="8" width="8.43"/>
    <col customWidth="1" min="9" max="9" width="7.14"/>
    <col customWidth="1" min="10" max="10" width="2.0"/>
    <col customWidth="1" min="11" max="11" width="5.57"/>
    <col customWidth="1" min="12" max="12" width="33.86"/>
    <col customWidth="1" min="14" max="14" width="13.0"/>
    <col customWidth="1" min="15" max="15" width="4.57"/>
    <col customWidth="1" min="16" max="16" width="1.71"/>
    <col customWidth="1" min="17" max="17" width="27.57"/>
    <col customWidth="1" min="18" max="18" width="27.14"/>
    <col customWidth="1" min="19" max="19" width="16.71"/>
    <col customWidth="1" min="20" max="20" width="25.43"/>
    <col customWidth="1" min="21" max="21" width="18.29"/>
    <col customWidth="1" min="22" max="22" width="22.43"/>
    <col customWidth="1" min="23" max="23" width="24.71"/>
    <col customWidth="1" min="24" max="24" width="20.0"/>
    <col customWidth="1" min="25" max="25" width="21.43"/>
    <col customWidth="1" min="26" max="26" width="18.57"/>
    <col customWidth="1" min="27" max="27" width="11.43"/>
  </cols>
  <sheetData>
    <row r="1">
      <c r="A1" s="5"/>
      <c r="D1" s="7"/>
      <c r="J1" s="7"/>
      <c r="P1" s="7"/>
    </row>
    <row r="2">
      <c r="D2" s="7"/>
      <c r="J2" s="7"/>
      <c r="P2" s="7"/>
    </row>
    <row r="3">
      <c r="A3" s="13" t="s">
        <v>9</v>
      </c>
      <c r="D3" s="7"/>
      <c r="E3" s="13" t="s">
        <v>13</v>
      </c>
      <c r="J3" s="7"/>
      <c r="K3" s="13" t="s">
        <v>15</v>
      </c>
      <c r="P3" s="7"/>
      <c r="Q3" s="13" t="s">
        <v>17</v>
      </c>
    </row>
    <row r="4">
      <c r="D4" s="7"/>
      <c r="J4" s="7"/>
      <c r="P4" s="7"/>
    </row>
    <row r="5">
      <c r="A5" s="2" t="s">
        <v>1</v>
      </c>
      <c r="B5" s="4"/>
      <c r="C5" s="21" t="s">
        <v>21</v>
      </c>
      <c r="D5" s="7"/>
      <c r="F5" s="22" t="s">
        <v>23</v>
      </c>
      <c r="G5" s="19"/>
      <c r="H5" s="17"/>
      <c r="J5" s="7"/>
      <c r="L5" s="15" t="s">
        <v>11</v>
      </c>
      <c r="M5" s="17"/>
      <c r="P5" s="7"/>
      <c r="Q5" s="27" t="s">
        <v>25</v>
      </c>
      <c r="R5" s="29"/>
      <c r="S5" s="27" t="s">
        <v>32</v>
      </c>
      <c r="T5" s="33"/>
      <c r="U5" s="29"/>
      <c r="V5" s="27" t="s">
        <v>38</v>
      </c>
      <c r="W5" s="33"/>
      <c r="X5" s="29"/>
    </row>
    <row r="6">
      <c r="A6" s="14" t="s">
        <v>10</v>
      </c>
      <c r="B6" s="37">
        <v>6810.0</v>
      </c>
      <c r="C6" s="38">
        <v>250.0</v>
      </c>
      <c r="D6" s="7"/>
      <c r="F6" s="28" t="s">
        <v>45</v>
      </c>
      <c r="G6" s="3" t="s">
        <v>47</v>
      </c>
      <c r="H6" s="40" t="s">
        <v>31</v>
      </c>
      <c r="J6" s="7"/>
      <c r="L6" s="42" t="s">
        <v>22</v>
      </c>
      <c r="M6" s="43"/>
      <c r="P6" s="7"/>
      <c r="Q6" s="44" t="s">
        <v>52</v>
      </c>
      <c r="R6" s="47"/>
      <c r="S6" s="44" t="s">
        <v>52</v>
      </c>
      <c r="T6" s="49"/>
      <c r="U6" s="47"/>
      <c r="V6" s="44" t="s">
        <v>52</v>
      </c>
      <c r="W6" s="49"/>
      <c r="X6" s="47"/>
    </row>
    <row r="7">
      <c r="A7" s="14" t="s">
        <v>28</v>
      </c>
      <c r="B7" s="55">
        <f>C6/454</f>
        <v>0.550660793</v>
      </c>
      <c r="D7" s="7"/>
      <c r="F7" s="57" t="s">
        <v>65</v>
      </c>
      <c r="G7" s="61">
        <f>B22/2</f>
        <v>3.059330279</v>
      </c>
      <c r="H7" s="62">
        <f>B22</f>
        <v>6.118660559</v>
      </c>
      <c r="J7" s="7"/>
      <c r="L7" s="52" t="s">
        <v>41</v>
      </c>
      <c r="M7" s="64">
        <v>1047.0</v>
      </c>
      <c r="P7" s="7"/>
      <c r="Q7" s="65" t="s">
        <v>73</v>
      </c>
      <c r="R7" s="66">
        <v>3.1999194012665515</v>
      </c>
      <c r="S7" s="69" t="s">
        <v>73</v>
      </c>
      <c r="T7" s="70"/>
      <c r="U7" s="66">
        <v>6.402790030227591</v>
      </c>
      <c r="V7" s="65" t="s">
        <v>73</v>
      </c>
      <c r="W7" s="72"/>
      <c r="X7" s="66">
        <v>5.611783369080653</v>
      </c>
    </row>
    <row r="8">
      <c r="A8" s="14" t="s">
        <v>40</v>
      </c>
      <c r="B8" s="32">
        <f>B6*B7</f>
        <v>3750</v>
      </c>
      <c r="D8" s="7"/>
      <c r="F8" s="57" t="s">
        <v>84</v>
      </c>
      <c r="G8" s="61">
        <v>0.11960000000000001</v>
      </c>
      <c r="H8" s="62">
        <v>0.23920000000000002</v>
      </c>
      <c r="J8" s="7"/>
      <c r="L8" s="58" t="s">
        <v>61</v>
      </c>
      <c r="M8" s="77">
        <v>300.0</v>
      </c>
      <c r="P8" s="7"/>
      <c r="Q8" s="65" t="s">
        <v>87</v>
      </c>
      <c r="R8" s="80">
        <v>0.5934657332813424</v>
      </c>
      <c r="S8" s="69" t="s">
        <v>87</v>
      </c>
      <c r="T8" s="70"/>
      <c r="U8" s="80">
        <v>0.7449617742503529</v>
      </c>
      <c r="V8" s="65" t="s">
        <v>87</v>
      </c>
      <c r="W8" s="72"/>
      <c r="X8" s="80">
        <v>0.7191106036227355</v>
      </c>
    </row>
    <row r="9">
      <c r="A9" s="14" t="s">
        <v>48</v>
      </c>
      <c r="B9" s="55">
        <v>50.0</v>
      </c>
      <c r="D9" s="7"/>
      <c r="F9" s="57" t="s">
        <v>62</v>
      </c>
      <c r="G9" s="87">
        <v>1.75</v>
      </c>
      <c r="H9" s="87">
        <v>1.75</v>
      </c>
      <c r="I9" s="89"/>
      <c r="J9" s="7"/>
      <c r="L9" s="58" t="s">
        <v>67</v>
      </c>
      <c r="M9" s="60">
        <v>0.3223</v>
      </c>
      <c r="P9" s="7"/>
      <c r="Q9" s="65" t="s">
        <v>95</v>
      </c>
      <c r="R9" s="66">
        <v>0.33</v>
      </c>
      <c r="S9" s="69" t="s">
        <v>95</v>
      </c>
      <c r="T9" s="70"/>
      <c r="U9" s="66">
        <v>0.33</v>
      </c>
      <c r="V9" s="69" t="s">
        <v>95</v>
      </c>
      <c r="W9" s="70"/>
      <c r="X9" s="66">
        <v>0.33</v>
      </c>
    </row>
    <row r="10">
      <c r="A10" s="14" t="s">
        <v>56</v>
      </c>
      <c r="B10" s="32">
        <v>13.72</v>
      </c>
      <c r="D10" s="7"/>
      <c r="F10" s="57" t="s">
        <v>64</v>
      </c>
      <c r="G10" s="61">
        <v>1.0370000000000001</v>
      </c>
      <c r="H10" s="62">
        <v>1.0370000000000001</v>
      </c>
      <c r="J10" s="7"/>
      <c r="L10" s="63" t="s">
        <v>72</v>
      </c>
      <c r="M10" s="68">
        <f>(M7*(1-M9))+(M8*M9)</f>
        <v>806.2419</v>
      </c>
      <c r="P10" s="7"/>
      <c r="Q10" s="65" t="s">
        <v>106</v>
      </c>
      <c r="R10" s="80">
        <v>0.06120269526330153</v>
      </c>
      <c r="S10" s="69" t="s">
        <v>106</v>
      </c>
      <c r="T10" s="70"/>
      <c r="U10" s="80">
        <v>0.038395353329098325</v>
      </c>
      <c r="V10" s="69" t="s">
        <v>106</v>
      </c>
      <c r="W10" s="70"/>
      <c r="X10" s="80">
        <v>0.04228718102394949</v>
      </c>
    </row>
    <row r="11">
      <c r="A11" s="14" t="s">
        <v>70</v>
      </c>
      <c r="B11" s="55">
        <v>120.0</v>
      </c>
      <c r="D11" s="7"/>
      <c r="F11" s="57" t="s">
        <v>69</v>
      </c>
      <c r="G11" s="61">
        <v>0.046511627906976744</v>
      </c>
      <c r="H11" s="62">
        <v>0.046511627906976744</v>
      </c>
      <c r="J11" s="7"/>
      <c r="L11" s="71" t="s">
        <v>81</v>
      </c>
      <c r="M11" s="73">
        <f>M10*0.2</f>
        <v>161.24838</v>
      </c>
      <c r="P11" s="7"/>
      <c r="Q11" s="65" t="s">
        <v>114</v>
      </c>
      <c r="R11" s="102">
        <v>1.862</v>
      </c>
      <c r="S11" s="69" t="s">
        <v>114</v>
      </c>
      <c r="T11" s="70"/>
      <c r="U11" s="66">
        <v>1.862</v>
      </c>
      <c r="V11" s="69" t="s">
        <v>114</v>
      </c>
      <c r="W11" s="70"/>
      <c r="X11" s="102">
        <v>1.862</v>
      </c>
    </row>
    <row r="12">
      <c r="A12" s="14" t="s">
        <v>78</v>
      </c>
      <c r="B12" s="32">
        <v>180.0</v>
      </c>
      <c r="D12" s="7"/>
      <c r="F12" s="57" t="s">
        <v>80</v>
      </c>
      <c r="G12" s="61">
        <v>0.5666666666666667</v>
      </c>
      <c r="H12" s="62">
        <v>0.5666666666666667</v>
      </c>
      <c r="J12" s="7"/>
      <c r="L12" s="75" t="s">
        <v>10</v>
      </c>
      <c r="M12" s="76">
        <f>60*454</f>
        <v>27240</v>
      </c>
      <c r="P12" s="7"/>
      <c r="Q12" s="65" t="s">
        <v>128</v>
      </c>
      <c r="R12" s="80">
        <v>0.34533157145535587</v>
      </c>
      <c r="S12" s="69" t="s">
        <v>128</v>
      </c>
      <c r="T12" s="70"/>
      <c r="U12" s="80">
        <v>0.21664287242054872</v>
      </c>
      <c r="V12" s="69" t="s">
        <v>128</v>
      </c>
      <c r="W12" s="70"/>
      <c r="X12" s="80">
        <v>0.238602215353315</v>
      </c>
    </row>
    <row r="13">
      <c r="A13" s="81" t="s">
        <v>90</v>
      </c>
      <c r="B13" s="121">
        <v>0.12</v>
      </c>
      <c r="C13" s="21" t="s">
        <v>137</v>
      </c>
      <c r="D13" s="7"/>
      <c r="F13" s="124" t="s">
        <v>138</v>
      </c>
      <c r="G13" s="61">
        <v>0.35</v>
      </c>
      <c r="H13" s="126">
        <v>0.35</v>
      </c>
      <c r="J13" s="7"/>
      <c r="L13" s="86" t="s">
        <v>92</v>
      </c>
      <c r="M13" s="91">
        <f>M11/454</f>
        <v>0.3551726432</v>
      </c>
      <c r="P13" s="7"/>
      <c r="Q13" s="130" t="s">
        <v>144</v>
      </c>
      <c r="R13" s="132">
        <v>5.391919401266552</v>
      </c>
      <c r="S13" s="130" t="s">
        <v>144</v>
      </c>
      <c r="T13" s="133"/>
      <c r="U13" s="132">
        <v>8.59479003022759</v>
      </c>
      <c r="V13" s="130" t="s">
        <v>144</v>
      </c>
      <c r="W13" s="133"/>
      <c r="X13" s="132">
        <v>7.803783369080653</v>
      </c>
    </row>
    <row r="14">
      <c r="A14" s="92" t="s">
        <v>98</v>
      </c>
      <c r="B14" s="93">
        <f>B13*B6</f>
        <v>817.2</v>
      </c>
      <c r="D14" s="7"/>
      <c r="F14" s="107" t="s">
        <v>86</v>
      </c>
      <c r="G14" s="139">
        <f t="shared" ref="G14:H14" si="1">SUM(G7:G13)</f>
        <v>6.929108574</v>
      </c>
      <c r="H14" s="140">
        <f t="shared" si="1"/>
        <v>10.10803885</v>
      </c>
      <c r="J14" s="7"/>
      <c r="L14" s="86" t="s">
        <v>40</v>
      </c>
      <c r="M14" s="91">
        <f>M13*M12</f>
        <v>9674.9028</v>
      </c>
      <c r="P14" s="7"/>
      <c r="Q14" s="141" t="s">
        <v>159</v>
      </c>
      <c r="R14" s="143">
        <v>0.9999999999999998</v>
      </c>
      <c r="S14" s="141" t="s">
        <v>159</v>
      </c>
      <c r="T14" s="144"/>
      <c r="U14" s="143">
        <v>1.0</v>
      </c>
      <c r="V14" s="141" t="s">
        <v>159</v>
      </c>
      <c r="W14" s="144"/>
      <c r="X14" s="143">
        <v>1.0</v>
      </c>
    </row>
    <row r="15">
      <c r="A15" s="96" t="s">
        <v>163</v>
      </c>
      <c r="B15" s="99">
        <f>(B8+B9+B10)/B14</f>
        <v>4.66681351</v>
      </c>
      <c r="D15" s="7"/>
      <c r="J15" s="7"/>
      <c r="L15" s="86" t="s">
        <v>48</v>
      </c>
      <c r="M15" s="91">
        <v>140.0</v>
      </c>
      <c r="P15" s="7"/>
    </row>
    <row r="16">
      <c r="A16" s="104" t="s">
        <v>119</v>
      </c>
      <c r="B16" s="106">
        <v>0.35</v>
      </c>
      <c r="C16" s="21" t="s">
        <v>137</v>
      </c>
      <c r="D16" s="7"/>
      <c r="J16" s="7"/>
      <c r="L16" s="86" t="s">
        <v>100</v>
      </c>
      <c r="M16" s="91">
        <v>0.735</v>
      </c>
      <c r="P16" s="7"/>
    </row>
    <row r="17">
      <c r="A17" s="117" t="s">
        <v>130</v>
      </c>
      <c r="B17" s="118">
        <f>B14*B16</f>
        <v>286.02</v>
      </c>
      <c r="D17" s="7"/>
      <c r="F17" s="21" t="s">
        <v>171</v>
      </c>
      <c r="J17" s="7"/>
      <c r="L17" s="86" t="s">
        <v>102</v>
      </c>
      <c r="M17" s="91">
        <v>40.0</v>
      </c>
      <c r="P17" s="7"/>
      <c r="R17" s="13" t="s">
        <v>174</v>
      </c>
    </row>
    <row r="18">
      <c r="A18" s="117" t="s">
        <v>140</v>
      </c>
      <c r="B18" s="127">
        <f>B17*B15+B12</f>
        <v>1514.802</v>
      </c>
      <c r="D18" s="7"/>
      <c r="J18" s="7"/>
      <c r="L18" s="94" t="s">
        <v>103</v>
      </c>
      <c r="M18" s="95">
        <f>20*(M20/675)</f>
        <v>25.82755556</v>
      </c>
      <c r="P18" s="7"/>
      <c r="Q18" s="164" t="s">
        <v>184</v>
      </c>
      <c r="R18" s="167" t="s">
        <v>187</v>
      </c>
      <c r="S18" s="167" t="s">
        <v>188</v>
      </c>
      <c r="T18" s="167" t="s">
        <v>189</v>
      </c>
      <c r="U18" s="169" t="s">
        <v>190</v>
      </c>
      <c r="V18" s="167" t="s">
        <v>193</v>
      </c>
      <c r="W18" s="167" t="s">
        <v>195</v>
      </c>
      <c r="X18" s="167" t="s">
        <v>196</v>
      </c>
      <c r="Y18" s="167" t="s">
        <v>199</v>
      </c>
      <c r="Z18" s="167" t="s">
        <v>201</v>
      </c>
    </row>
    <row r="19">
      <c r="A19" s="117" t="s">
        <v>120</v>
      </c>
      <c r="B19" s="127">
        <f>B18/B17</f>
        <v>5.29614013</v>
      </c>
      <c r="D19" s="7"/>
      <c r="J19" s="7"/>
      <c r="L19" s="97" t="s">
        <v>108</v>
      </c>
      <c r="M19" s="98">
        <v>0.032</v>
      </c>
      <c r="P19" s="7"/>
      <c r="Q19" s="167" t="s">
        <v>205</v>
      </c>
      <c r="R19" s="176">
        <v>750.0</v>
      </c>
      <c r="S19" s="176">
        <f>U19*0.5</f>
        <v>1.001502591</v>
      </c>
      <c r="T19" s="176">
        <f>U19*0.5</f>
        <v>1.001502591</v>
      </c>
      <c r="U19" s="176">
        <f t="shared" ref="U19:U20" si="2">(R19/386)+0.06</f>
        <v>2.003005181</v>
      </c>
      <c r="V19" s="179">
        <v>0.05</v>
      </c>
      <c r="W19" s="176">
        <v>0.19662346918971374</v>
      </c>
      <c r="X19" s="176">
        <f t="shared" ref="X19:X20" si="3">U19+V19+W19</f>
        <v>2.249628651</v>
      </c>
      <c r="Y19" s="179">
        <v>2.75</v>
      </c>
      <c r="Z19" s="176">
        <f t="shared" ref="Z19:Z20" si="4">Y19-X19</f>
        <v>0.5003713495</v>
      </c>
    </row>
    <row r="20">
      <c r="A20" s="136" t="s">
        <v>151</v>
      </c>
      <c r="B20" s="180">
        <f>B17* 0.877</f>
        <v>250.83954</v>
      </c>
      <c r="D20" s="7"/>
      <c r="E20" s="181" t="s">
        <v>221</v>
      </c>
      <c r="J20" s="7"/>
      <c r="L20" s="100" t="s">
        <v>110</v>
      </c>
      <c r="M20" s="101">
        <f>M12*M19</f>
        <v>871.68</v>
      </c>
      <c r="P20" s="7"/>
      <c r="Q20" s="167" t="s">
        <v>227</v>
      </c>
      <c r="R20" s="179">
        <v>570.0</v>
      </c>
      <c r="S20" s="176">
        <f>(U20-0.06)*0.3</f>
        <v>0.4430051813</v>
      </c>
      <c r="T20" s="176">
        <f>(U20-0.06)*0.7</f>
        <v>1.033678756</v>
      </c>
      <c r="U20" s="176">
        <f t="shared" si="2"/>
        <v>1.536683938</v>
      </c>
      <c r="V20" s="179">
        <v>0.05</v>
      </c>
      <c r="W20" s="176">
        <f>W19</f>
        <v>0.1966234692</v>
      </c>
      <c r="X20" s="176">
        <f t="shared" si="3"/>
        <v>1.783307407</v>
      </c>
      <c r="Y20" s="179">
        <v>2.75</v>
      </c>
      <c r="Z20" s="176">
        <f t="shared" si="4"/>
        <v>0.966692593</v>
      </c>
    </row>
    <row r="21">
      <c r="A21" s="117" t="s">
        <v>156</v>
      </c>
      <c r="B21" s="127">
        <f>(B17*B15)+B12+20</f>
        <v>1534.802</v>
      </c>
      <c r="D21" s="7"/>
      <c r="F21" s="21" t="s">
        <v>0</v>
      </c>
      <c r="J21" s="7"/>
      <c r="L21" s="100" t="s">
        <v>113</v>
      </c>
      <c r="M21" s="105">
        <f>M14+M15+M16+M17</f>
        <v>9855.6378</v>
      </c>
      <c r="P21" s="7"/>
    </row>
    <row r="22">
      <c r="A22" s="117" t="s">
        <v>120</v>
      </c>
      <c r="B22" s="127">
        <f>B21/B20</f>
        <v>6.118660559</v>
      </c>
      <c r="D22" s="7"/>
      <c r="F22" s="18" t="s">
        <v>238</v>
      </c>
      <c r="G22" s="19"/>
      <c r="H22" s="17"/>
      <c r="J22" s="7"/>
      <c r="L22" s="108" t="s">
        <v>120</v>
      </c>
      <c r="M22" s="111">
        <f>M21/M20</f>
        <v>11.3064861</v>
      </c>
      <c r="P22" s="7"/>
      <c r="R22" s="13" t="s">
        <v>241</v>
      </c>
      <c r="Y22" s="21" t="s">
        <v>242</v>
      </c>
    </row>
    <row r="23">
      <c r="A23" s="149" t="s">
        <v>167</v>
      </c>
      <c r="B23" s="188">
        <f>1-B16</f>
        <v>0.65</v>
      </c>
      <c r="D23" s="7"/>
      <c r="F23" s="189" t="s">
        <v>245</v>
      </c>
      <c r="G23" s="191" t="s">
        <v>31</v>
      </c>
      <c r="H23" s="192" t="s">
        <v>247</v>
      </c>
      <c r="J23" s="7"/>
      <c r="L23" s="112" t="s">
        <v>121</v>
      </c>
      <c r="M23" s="113">
        <v>0.81</v>
      </c>
      <c r="P23" s="7"/>
      <c r="Y23" s="21" t="s">
        <v>249</v>
      </c>
      <c r="Z23" s="193">
        <v>0.67</v>
      </c>
    </row>
    <row r="24">
      <c r="A24" s="156" t="s">
        <v>173</v>
      </c>
      <c r="B24" s="157">
        <f>B14*B23</f>
        <v>531.18</v>
      </c>
      <c r="D24" s="7"/>
      <c r="F24" s="194" t="s">
        <v>252</v>
      </c>
      <c r="G24" s="195">
        <f>B15/0.877</f>
        <v>5.321338095</v>
      </c>
      <c r="H24" s="196">
        <v>0.12</v>
      </c>
      <c r="J24" s="7"/>
      <c r="L24" s="114" t="s">
        <v>126</v>
      </c>
      <c r="M24" s="116">
        <f>M20*M23</f>
        <v>706.0608</v>
      </c>
      <c r="P24" s="7"/>
      <c r="Q24" s="197" t="s">
        <v>256</v>
      </c>
      <c r="R24" s="198"/>
      <c r="S24" s="199"/>
      <c r="U24" s="200" t="s">
        <v>257</v>
      </c>
      <c r="V24" s="198"/>
      <c r="W24" s="199"/>
      <c r="Y24" s="21" t="s">
        <v>259</v>
      </c>
      <c r="Z24" s="193">
        <v>0.39</v>
      </c>
    </row>
    <row r="25">
      <c r="A25" s="156" t="s">
        <v>180</v>
      </c>
      <c r="B25" s="162">
        <f>B24*B15+B11</f>
        <v>2598.918</v>
      </c>
      <c r="D25" s="7"/>
      <c r="F25" s="194" t="s">
        <v>262</v>
      </c>
      <c r="G25" s="87">
        <v>0.93</v>
      </c>
      <c r="H25" s="62"/>
      <c r="J25" s="7"/>
      <c r="L25" s="114" t="s">
        <v>131</v>
      </c>
      <c r="M25" s="119">
        <f>M14+M15+M16+M17+M18</f>
        <v>9881.465356</v>
      </c>
      <c r="P25" s="7"/>
      <c r="Q25" s="201"/>
      <c r="S25" s="202"/>
      <c r="U25" s="201"/>
      <c r="W25" s="202"/>
    </row>
    <row r="26">
      <c r="A26" s="165" t="s">
        <v>135</v>
      </c>
      <c r="B26" s="168">
        <f>B25/B24</f>
        <v>4.89272563</v>
      </c>
      <c r="D26" s="7"/>
      <c r="F26" s="194" t="s">
        <v>264</v>
      </c>
      <c r="G26" s="87">
        <v>0.05</v>
      </c>
      <c r="H26" s="126"/>
      <c r="J26" s="7"/>
      <c r="L26" s="120" t="s">
        <v>135</v>
      </c>
      <c r="M26" s="123">
        <f>M25/M24</f>
        <v>13.9952046</v>
      </c>
      <c r="P26" s="7"/>
      <c r="Q26" s="204" t="s">
        <v>32</v>
      </c>
      <c r="R26" s="151"/>
      <c r="S26" s="205"/>
      <c r="U26" s="204" t="s">
        <v>38</v>
      </c>
      <c r="V26" s="151"/>
      <c r="W26" s="205"/>
    </row>
    <row r="27">
      <c r="A27" s="22" t="s">
        <v>42</v>
      </c>
      <c r="B27" s="19"/>
      <c r="C27" s="17"/>
      <c r="D27" s="7"/>
      <c r="F27" s="57" t="s">
        <v>69</v>
      </c>
      <c r="G27" s="61">
        <v>0.046511627906976744</v>
      </c>
      <c r="H27" s="62"/>
      <c r="J27" s="7"/>
      <c r="P27" s="7"/>
      <c r="Q27" s="206" t="s">
        <v>268</v>
      </c>
      <c r="R27" s="49"/>
      <c r="S27" s="207"/>
      <c r="U27" s="206" t="s">
        <v>268</v>
      </c>
      <c r="V27" s="49"/>
      <c r="W27" s="207"/>
    </row>
    <row r="28" ht="25.5" customHeight="1">
      <c r="A28" s="28" t="s">
        <v>45</v>
      </c>
      <c r="B28" s="31" t="s">
        <v>31</v>
      </c>
      <c r="C28" s="34" t="s">
        <v>50</v>
      </c>
      <c r="D28" s="7"/>
      <c r="F28" s="57" t="s">
        <v>80</v>
      </c>
      <c r="G28" s="87">
        <v>0.08</v>
      </c>
      <c r="H28" s="62"/>
      <c r="J28" s="7"/>
      <c r="L28" s="18" t="s">
        <v>19</v>
      </c>
      <c r="M28" s="19"/>
      <c r="N28" s="20"/>
      <c r="P28" s="7"/>
      <c r="Q28" s="208" t="s">
        <v>271</v>
      </c>
      <c r="R28" s="70"/>
      <c r="S28" s="209">
        <v>2.0510458078767635</v>
      </c>
      <c r="U28" s="210" t="s">
        <v>73</v>
      </c>
      <c r="V28" s="72"/>
      <c r="W28" s="209">
        <v>2.0510458078767635</v>
      </c>
    </row>
    <row r="29">
      <c r="A29" s="41" t="s">
        <v>59</v>
      </c>
      <c r="B29" s="46">
        <f>B26</f>
        <v>4.89272563</v>
      </c>
      <c r="C29" s="53">
        <f>B26*3.5</f>
        <v>17.1245397</v>
      </c>
      <c r="D29" s="7"/>
      <c r="F29" s="212" t="s">
        <v>273</v>
      </c>
      <c r="G29" s="61">
        <f>460.28/1800</f>
        <v>0.2557111111</v>
      </c>
      <c r="H29" s="62"/>
      <c r="J29" s="7"/>
      <c r="L29" s="28" t="s">
        <v>26</v>
      </c>
      <c r="M29" s="31" t="s">
        <v>31</v>
      </c>
      <c r="N29" s="34" t="s">
        <v>34</v>
      </c>
      <c r="P29" s="7"/>
      <c r="Q29" s="213" t="s">
        <v>87</v>
      </c>
      <c r="R29" s="214"/>
      <c r="S29" s="215">
        <v>0.3860315414462328</v>
      </c>
      <c r="U29" s="216" t="s">
        <v>87</v>
      </c>
      <c r="V29" s="217"/>
      <c r="W29" s="215">
        <v>0.433992221103298</v>
      </c>
    </row>
    <row r="30">
      <c r="A30" s="41" t="s">
        <v>64</v>
      </c>
      <c r="B30" s="46">
        <v>1.189779864426893</v>
      </c>
      <c r="C30" s="53">
        <v>1.189779864426893</v>
      </c>
      <c r="D30" s="7"/>
      <c r="F30" s="124"/>
      <c r="G30" s="61"/>
      <c r="H30" s="126"/>
      <c r="J30" s="7"/>
      <c r="L30" s="41" t="s">
        <v>49</v>
      </c>
      <c r="M30" s="46">
        <f>M26</f>
        <v>13.9952046</v>
      </c>
      <c r="N30" s="51">
        <f>M30*2</f>
        <v>27.9904092</v>
      </c>
      <c r="P30" s="7"/>
      <c r="Q30" s="218" t="s">
        <v>274</v>
      </c>
      <c r="R30" s="219"/>
      <c r="S30" s="220">
        <v>0.3</v>
      </c>
      <c r="U30" s="218" t="s">
        <v>274</v>
      </c>
      <c r="V30" s="219"/>
      <c r="W30" s="220">
        <v>0.3</v>
      </c>
    </row>
    <row r="31">
      <c r="A31" s="41" t="s">
        <v>69</v>
      </c>
      <c r="B31" s="46">
        <v>0.31</v>
      </c>
      <c r="C31" s="53">
        <v>0.3875</v>
      </c>
      <c r="D31" s="7"/>
      <c r="F31" s="107" t="s">
        <v>86</v>
      </c>
      <c r="G31" s="139">
        <f>SUM(G24:G29)</f>
        <v>6.683560834</v>
      </c>
      <c r="H31" s="140"/>
      <c r="J31" s="7"/>
      <c r="L31" s="41" t="s">
        <v>64</v>
      </c>
      <c r="M31" s="46">
        <v>1.189779864426893</v>
      </c>
      <c r="N31" s="53">
        <v>1.189779864426893</v>
      </c>
      <c r="P31" s="7"/>
      <c r="Q31" s="221" t="s">
        <v>275</v>
      </c>
      <c r="R31" s="222"/>
      <c r="S31" s="223">
        <v>3.083110210910465</v>
      </c>
      <c r="U31" s="221" t="s">
        <v>275</v>
      </c>
      <c r="V31" s="222"/>
      <c r="W31" s="223">
        <v>2.4989508993051786</v>
      </c>
    </row>
    <row r="32">
      <c r="A32" s="41" t="s">
        <v>80</v>
      </c>
      <c r="B32" s="46">
        <v>0.12626262626262627</v>
      </c>
      <c r="C32" s="53">
        <v>0.12626262626262627</v>
      </c>
      <c r="D32" s="7"/>
      <c r="J32" s="7"/>
      <c r="L32" s="41" t="s">
        <v>69</v>
      </c>
      <c r="M32" s="46">
        <v>0.31</v>
      </c>
      <c r="N32" s="53">
        <v>0.31</v>
      </c>
      <c r="P32" s="7"/>
      <c r="Q32" s="208" t="s">
        <v>276</v>
      </c>
      <c r="R32" s="70"/>
      <c r="S32" s="224">
        <v>0.5802785011410619</v>
      </c>
      <c r="U32" s="208" t="s">
        <v>277</v>
      </c>
      <c r="V32" s="70"/>
      <c r="W32" s="224">
        <v>0.5287669573505215</v>
      </c>
    </row>
    <row r="33">
      <c r="A33" s="41" t="s">
        <v>99</v>
      </c>
      <c r="B33" s="46">
        <v>0.7548869702832629</v>
      </c>
      <c r="C33" s="53">
        <v>0.7548869702832629</v>
      </c>
      <c r="D33" s="7"/>
      <c r="J33" s="7"/>
      <c r="L33" s="41" t="s">
        <v>80</v>
      </c>
      <c r="M33" s="46">
        <v>0.7999999999999999</v>
      </c>
      <c r="N33" s="53">
        <v>0.7999999999999999</v>
      </c>
      <c r="P33" s="7"/>
      <c r="Q33" s="208" t="s">
        <v>95</v>
      </c>
      <c r="R33" s="70"/>
      <c r="S33" s="209">
        <v>0.113</v>
      </c>
      <c r="U33" s="208" t="s">
        <v>95</v>
      </c>
      <c r="V33" s="70"/>
      <c r="W33" s="209">
        <v>0.11</v>
      </c>
    </row>
    <row r="34">
      <c r="A34" s="41" t="s">
        <v>83</v>
      </c>
      <c r="B34" s="46">
        <v>0.5676750016530138</v>
      </c>
      <c r="C34" s="53">
        <v>0.5676750016530138</v>
      </c>
      <c r="D34" s="7"/>
      <c r="J34" s="7"/>
      <c r="L34" s="41" t="s">
        <v>83</v>
      </c>
      <c r="M34" s="46">
        <v>0.6491819185570205</v>
      </c>
      <c r="N34" s="53">
        <v>0.6491819185570205</v>
      </c>
      <c r="P34" s="7"/>
      <c r="Q34" s="208" t="s">
        <v>106</v>
      </c>
      <c r="R34" s="70"/>
      <c r="S34" s="225">
        <v>0.021267961942098807</v>
      </c>
      <c r="U34" s="208" t="s">
        <v>106</v>
      </c>
      <c r="V34" s="70"/>
      <c r="W34" s="225">
        <v>0.023275513466362897</v>
      </c>
    </row>
    <row r="35">
      <c r="A35" s="107" t="s">
        <v>86</v>
      </c>
      <c r="B35" s="109">
        <f t="shared" ref="B35:C35" si="5">SUM(B29:B34)</f>
        <v>7.841330092</v>
      </c>
      <c r="C35" s="110">
        <f t="shared" si="5"/>
        <v>20.15064417</v>
      </c>
      <c r="D35" s="7"/>
      <c r="J35" s="7"/>
      <c r="L35" s="226" t="s">
        <v>86</v>
      </c>
      <c r="M35" s="227">
        <f t="shared" ref="M35:N35" si="6">SUM(M30:M34)</f>
        <v>16.94416638</v>
      </c>
      <c r="N35" s="110">
        <f t="shared" si="6"/>
        <v>30.93937098</v>
      </c>
      <c r="P35" s="7"/>
      <c r="Q35" s="208" t="s">
        <v>114</v>
      </c>
      <c r="R35" s="70"/>
      <c r="S35" s="228">
        <v>0.082</v>
      </c>
      <c r="U35" s="208" t="s">
        <v>114</v>
      </c>
      <c r="V35" s="70"/>
      <c r="W35" s="228">
        <v>0.082</v>
      </c>
    </row>
    <row r="36">
      <c r="D36" s="7"/>
      <c r="E36" s="181" t="s">
        <v>278</v>
      </c>
      <c r="J36" s="7"/>
      <c r="P36" s="7"/>
      <c r="Q36" s="208" t="s">
        <v>128</v>
      </c>
      <c r="R36" s="70"/>
      <c r="S36" s="225">
        <v>0.012421995470606384</v>
      </c>
      <c r="U36" s="208" t="s">
        <v>128</v>
      </c>
      <c r="V36" s="70"/>
      <c r="W36" s="225">
        <v>0.01396530807981774</v>
      </c>
    </row>
    <row r="37">
      <c r="D37" s="7"/>
      <c r="J37" s="7"/>
      <c r="L37" s="21" t="s">
        <v>279</v>
      </c>
      <c r="P37" s="7"/>
      <c r="Q37" s="229" t="s">
        <v>144</v>
      </c>
      <c r="R37" s="133"/>
      <c r="S37" s="230">
        <v>5.313156018787229</v>
      </c>
      <c r="U37" s="229" t="s">
        <v>144</v>
      </c>
      <c r="V37" s="133"/>
      <c r="W37" s="230">
        <v>4.725996707181942</v>
      </c>
    </row>
    <row r="38">
      <c r="D38" s="7"/>
      <c r="F38" s="22" t="s">
        <v>23</v>
      </c>
      <c r="G38" s="19"/>
      <c r="H38" s="17"/>
      <c r="J38" s="7"/>
      <c r="L38" s="15" t="s">
        <v>280</v>
      </c>
      <c r="M38" s="17"/>
      <c r="P38" s="7"/>
      <c r="Q38" s="231" t="s">
        <v>159</v>
      </c>
      <c r="R38" s="232"/>
      <c r="S38" s="233">
        <v>1.0</v>
      </c>
      <c r="U38" s="231" t="s">
        <v>159</v>
      </c>
      <c r="V38" s="232"/>
      <c r="W38" s="233">
        <v>1.0</v>
      </c>
    </row>
    <row r="39">
      <c r="D39" s="7"/>
      <c r="F39" s="189" t="s">
        <v>282</v>
      </c>
      <c r="G39" s="3" t="s">
        <v>47</v>
      </c>
      <c r="H39" s="40"/>
      <c r="J39" s="7"/>
      <c r="L39" s="58" t="s">
        <v>61</v>
      </c>
      <c r="M39" s="235">
        <v>800.0</v>
      </c>
      <c r="P39" s="7"/>
      <c r="Q39" s="236"/>
      <c r="S39" s="237"/>
      <c r="U39" s="236"/>
      <c r="W39" s="237"/>
    </row>
    <row r="40">
      <c r="D40" s="7"/>
      <c r="F40" s="194" t="s">
        <v>252</v>
      </c>
      <c r="G40" s="61">
        <f>(M26/0.87)*0.5</f>
        <v>8.043221034</v>
      </c>
      <c r="H40" s="62"/>
      <c r="J40" s="7"/>
      <c r="L40" s="75" t="s">
        <v>10</v>
      </c>
      <c r="M40" s="76">
        <f>45*454</f>
        <v>20430</v>
      </c>
      <c r="P40" s="7"/>
      <c r="Q40" s="204" t="s">
        <v>32</v>
      </c>
      <c r="R40" s="151"/>
      <c r="S40" s="205"/>
      <c r="U40" s="204" t="s">
        <v>38</v>
      </c>
      <c r="V40" s="151"/>
      <c r="W40" s="205"/>
    </row>
    <row r="41">
      <c r="D41" s="7"/>
      <c r="F41" s="57" t="s">
        <v>62</v>
      </c>
      <c r="G41" s="87">
        <v>1.75</v>
      </c>
      <c r="H41" s="62"/>
      <c r="J41" s="7"/>
      <c r="L41" s="86" t="s">
        <v>92</v>
      </c>
      <c r="M41" s="91">
        <f>M39/454</f>
        <v>1.762114537</v>
      </c>
      <c r="P41" s="7"/>
      <c r="Q41" s="206" t="s">
        <v>290</v>
      </c>
      <c r="R41" s="49"/>
      <c r="S41" s="207"/>
      <c r="U41" s="206" t="s">
        <v>290</v>
      </c>
      <c r="V41" s="49"/>
      <c r="W41" s="207"/>
    </row>
    <row r="42">
      <c r="D42" s="7"/>
      <c r="F42" s="57" t="s">
        <v>64</v>
      </c>
      <c r="G42" s="61">
        <v>1.0370000000000001</v>
      </c>
      <c r="H42" s="126"/>
      <c r="J42" s="7"/>
      <c r="L42" s="86" t="s">
        <v>40</v>
      </c>
      <c r="M42" s="91">
        <f>M41*M40</f>
        <v>36000</v>
      </c>
      <c r="P42" s="7"/>
      <c r="Q42" s="208" t="s">
        <v>271</v>
      </c>
      <c r="R42" s="70"/>
      <c r="S42" s="209">
        <v>1.4875743052860901</v>
      </c>
      <c r="U42" s="210" t="s">
        <v>73</v>
      </c>
      <c r="V42" s="72"/>
      <c r="W42" s="209">
        <v>1.4875743052860901</v>
      </c>
    </row>
    <row r="43">
      <c r="D43" s="7"/>
      <c r="F43" s="57" t="s">
        <v>69</v>
      </c>
      <c r="G43" s="61">
        <v>0.046511627906976744</v>
      </c>
      <c r="H43" s="62"/>
      <c r="J43" s="7"/>
      <c r="L43" s="86" t="s">
        <v>48</v>
      </c>
      <c r="M43" s="91">
        <v>140.0</v>
      </c>
      <c r="P43" s="7"/>
      <c r="Q43" s="213" t="s">
        <v>87</v>
      </c>
      <c r="R43" s="214"/>
      <c r="S43" s="215">
        <v>0.3131943395847494</v>
      </c>
      <c r="U43" s="216" t="s">
        <v>87</v>
      </c>
      <c r="V43" s="217"/>
      <c r="W43" s="215">
        <v>0.35737304452722457</v>
      </c>
    </row>
    <row r="44">
      <c r="D44" s="7"/>
      <c r="F44" s="57" t="s">
        <v>80</v>
      </c>
      <c r="G44" s="61">
        <v>0.5666666666666667</v>
      </c>
      <c r="H44" s="62"/>
      <c r="J44" s="7"/>
      <c r="L44" s="86" t="s">
        <v>100</v>
      </c>
      <c r="M44" s="91">
        <v>0.735</v>
      </c>
      <c r="P44" s="7"/>
      <c r="Q44" s="218" t="s">
        <v>274</v>
      </c>
      <c r="R44" s="219"/>
      <c r="S44" s="220">
        <v>0.3</v>
      </c>
      <c r="U44" s="218" t="s">
        <v>274</v>
      </c>
      <c r="V44" s="219"/>
      <c r="W44" s="220">
        <v>0.3</v>
      </c>
    </row>
    <row r="45">
      <c r="D45" s="7"/>
      <c r="F45" s="212" t="s">
        <v>308</v>
      </c>
      <c r="G45" s="61">
        <f>338.94/1000</f>
        <v>0.33894</v>
      </c>
      <c r="H45" s="62"/>
      <c r="J45" s="7"/>
      <c r="L45" s="86" t="s">
        <v>102</v>
      </c>
      <c r="M45" s="91">
        <v>40.0</v>
      </c>
      <c r="P45" s="7"/>
      <c r="Q45" s="221" t="s">
        <v>275</v>
      </c>
      <c r="R45" s="222"/>
      <c r="S45" s="223">
        <f>S44*'PREROLL IN_OUT'!D19</f>
        <v>2.318862779</v>
      </c>
      <c r="U45" s="221" t="s">
        <v>275</v>
      </c>
      <c r="V45" s="222"/>
      <c r="W45" s="223">
        <v>2.4989508993051786</v>
      </c>
    </row>
    <row r="46">
      <c r="D46" s="7"/>
      <c r="F46" s="124"/>
      <c r="G46" s="61"/>
      <c r="H46" s="126"/>
      <c r="J46" s="7"/>
      <c r="L46" s="94" t="s">
        <v>103</v>
      </c>
      <c r="M46" s="95">
        <v>80.0</v>
      </c>
      <c r="P46" s="7"/>
      <c r="Q46" s="208" t="s">
        <v>276</v>
      </c>
      <c r="R46" s="70"/>
      <c r="S46" s="224">
        <v>0.6491189468262523</v>
      </c>
      <c r="U46" s="208" t="s">
        <v>277</v>
      </c>
      <c r="V46" s="70"/>
      <c r="W46" s="224">
        <v>0.600344929214803</v>
      </c>
    </row>
    <row r="47">
      <c r="D47" s="7"/>
      <c r="F47" s="107" t="s">
        <v>86</v>
      </c>
      <c r="G47" s="139">
        <f>SUM(G40:G45)</f>
        <v>11.78233933</v>
      </c>
      <c r="H47" s="140"/>
      <c r="J47" s="7"/>
      <c r="L47" s="97" t="s">
        <v>108</v>
      </c>
      <c r="M47" s="98">
        <v>0.18</v>
      </c>
      <c r="P47" s="7"/>
      <c r="Q47" s="208" t="s">
        <v>95</v>
      </c>
      <c r="R47" s="70"/>
      <c r="S47" s="209">
        <v>0.113</v>
      </c>
      <c r="U47" s="208" t="s">
        <v>95</v>
      </c>
      <c r="V47" s="70"/>
      <c r="W47" s="209">
        <v>0.11</v>
      </c>
    </row>
    <row r="48">
      <c r="D48" s="7"/>
      <c r="J48" s="7"/>
      <c r="L48" s="100" t="s">
        <v>110</v>
      </c>
      <c r="M48" s="101">
        <f>M40*M47</f>
        <v>3677.4</v>
      </c>
      <c r="P48" s="7"/>
      <c r="Q48" s="208" t="s">
        <v>106</v>
      </c>
      <c r="R48" s="70"/>
      <c r="S48" s="225">
        <v>0.023791053829926363</v>
      </c>
      <c r="U48" s="208" t="s">
        <v>106</v>
      </c>
      <c r="V48" s="70"/>
      <c r="W48" s="225">
        <v>0.026426266411232757</v>
      </c>
    </row>
    <row r="49">
      <c r="D49" s="7"/>
      <c r="J49" s="7"/>
      <c r="L49" s="100" t="s">
        <v>113</v>
      </c>
      <c r="M49" s="105">
        <f>M42+M43+M44+M45</f>
        <v>36180.735</v>
      </c>
      <c r="P49" s="7"/>
      <c r="Q49" s="208" t="s">
        <v>114</v>
      </c>
      <c r="R49" s="70"/>
      <c r="S49" s="228">
        <v>0.082</v>
      </c>
      <c r="U49" s="208" t="s">
        <v>114</v>
      </c>
      <c r="V49" s="70"/>
      <c r="W49" s="228">
        <v>0.082</v>
      </c>
    </row>
    <row r="50">
      <c r="D50" s="7"/>
      <c r="J50" s="7"/>
      <c r="L50" s="108" t="s">
        <v>120</v>
      </c>
      <c r="M50" s="111">
        <f>M49/M48</f>
        <v>9.838672704</v>
      </c>
      <c r="P50" s="7"/>
      <c r="Q50" s="208" t="s">
        <v>128</v>
      </c>
      <c r="R50" s="70"/>
      <c r="S50" s="225">
        <v>0.013895659759072036</v>
      </c>
      <c r="U50" s="208" t="s">
        <v>128</v>
      </c>
      <c r="V50" s="70"/>
      <c r="W50" s="225">
        <v>0.015855759846739655</v>
      </c>
    </row>
    <row r="51">
      <c r="D51" s="7"/>
      <c r="J51" s="7"/>
      <c r="L51" s="112" t="s">
        <v>121</v>
      </c>
      <c r="M51" s="113">
        <v>0.81</v>
      </c>
      <c r="P51" s="7"/>
      <c r="Q51" s="282" t="s">
        <v>144</v>
      </c>
      <c r="R51" s="283"/>
      <c r="S51" s="230">
        <v>4.749684516196555</v>
      </c>
      <c r="U51" s="282" t="s">
        <v>144</v>
      </c>
      <c r="V51" s="283"/>
      <c r="W51" s="230">
        <v>4.162525204591269</v>
      </c>
    </row>
    <row r="52">
      <c r="D52" s="7"/>
      <c r="J52" s="7"/>
      <c r="L52" s="114" t="s">
        <v>126</v>
      </c>
      <c r="M52" s="116">
        <f>M48*M51</f>
        <v>2978.694</v>
      </c>
      <c r="P52" s="7"/>
      <c r="Q52" s="288" t="s">
        <v>159</v>
      </c>
      <c r="R52" s="290"/>
      <c r="S52" s="292">
        <v>1.0</v>
      </c>
      <c r="U52" s="288" t="s">
        <v>159</v>
      </c>
      <c r="V52" s="290"/>
      <c r="W52" s="292">
        <v>1.0</v>
      </c>
    </row>
    <row r="53">
      <c r="D53" s="7"/>
      <c r="J53" s="7"/>
      <c r="L53" s="114" t="s">
        <v>131</v>
      </c>
      <c r="M53" s="119">
        <f>M42+M43+M44+M45+M46</f>
        <v>36260.735</v>
      </c>
      <c r="P53" s="7"/>
      <c r="Q53" s="197" t="s">
        <v>349</v>
      </c>
      <c r="R53" s="198"/>
      <c r="S53" s="199"/>
      <c r="U53" s="197" t="s">
        <v>350</v>
      </c>
      <c r="V53" s="198"/>
      <c r="W53" s="199"/>
    </row>
    <row r="54">
      <c r="D54" s="7"/>
      <c r="J54" s="7"/>
      <c r="L54" s="120" t="s">
        <v>135</v>
      </c>
      <c r="M54" s="123">
        <f>M53/M52</f>
        <v>12.17336692</v>
      </c>
      <c r="P54" s="7"/>
      <c r="Q54" s="201"/>
      <c r="S54" s="202"/>
      <c r="U54" s="201"/>
      <c r="W54" s="202"/>
    </row>
    <row r="55">
      <c r="D55" s="7"/>
      <c r="J55" s="7"/>
      <c r="P55" s="7"/>
      <c r="Q55" s="302" t="s">
        <v>355</v>
      </c>
      <c r="R55" s="151"/>
      <c r="S55" s="205"/>
      <c r="U55" s="302" t="s">
        <v>356</v>
      </c>
      <c r="V55" s="151"/>
      <c r="W55" s="205"/>
    </row>
    <row r="56">
      <c r="D56" s="7"/>
      <c r="J56" s="7"/>
      <c r="P56" s="7"/>
      <c r="Q56" s="206" t="s">
        <v>290</v>
      </c>
      <c r="R56" s="49"/>
      <c r="S56" s="207"/>
      <c r="U56" s="308" t="s">
        <v>290</v>
      </c>
      <c r="V56" s="49"/>
      <c r="W56" s="207"/>
    </row>
    <row r="57">
      <c r="D57" s="7"/>
      <c r="J57" s="7"/>
      <c r="P57" s="7"/>
      <c r="Q57" s="208" t="s">
        <v>271</v>
      </c>
      <c r="R57" s="70"/>
      <c r="S57" s="209">
        <f>'PREROLL IN_OUT'!R25+'PREROLL IN_OUT'!S25</f>
        <v>1.584724564</v>
      </c>
      <c r="U57" s="210" t="s">
        <v>73</v>
      </c>
      <c r="V57" s="72"/>
      <c r="W57" s="209">
        <f>U20+V20</f>
        <v>1.586683938</v>
      </c>
    </row>
    <row r="58">
      <c r="D58" s="7"/>
      <c r="J58" s="7"/>
      <c r="P58" s="7"/>
      <c r="Q58" s="213" t="s">
        <v>87</v>
      </c>
      <c r="R58" s="214"/>
      <c r="S58" s="215">
        <f>S57/S68</f>
        <v>0.3934765599</v>
      </c>
      <c r="U58" s="216" t="s">
        <v>87</v>
      </c>
      <c r="V58" s="217"/>
      <c r="W58" s="215">
        <v>0.433992221103298</v>
      </c>
    </row>
    <row r="59">
      <c r="D59" s="7"/>
      <c r="J59" s="7"/>
      <c r="P59" s="7"/>
      <c r="Q59" s="218" t="s">
        <v>274</v>
      </c>
      <c r="R59" s="219"/>
      <c r="S59" s="220">
        <v>0.3</v>
      </c>
      <c r="U59" s="218" t="s">
        <v>274</v>
      </c>
      <c r="V59" s="219"/>
      <c r="W59" s="320">
        <v>0.3</v>
      </c>
    </row>
    <row r="60">
      <c r="D60" s="7"/>
      <c r="J60" s="7"/>
      <c r="P60" s="7"/>
      <c r="Q60" s="323" t="s">
        <v>384</v>
      </c>
      <c r="R60" s="219"/>
      <c r="S60" s="326">
        <v>0.05</v>
      </c>
      <c r="U60" s="221" t="s">
        <v>275</v>
      </c>
      <c r="V60" s="222"/>
      <c r="W60" s="223">
        <f>M50*(W59*1)</f>
        <v>2.951601811</v>
      </c>
    </row>
    <row r="61">
      <c r="D61" s="7"/>
      <c r="J61" s="7"/>
      <c r="P61" s="7"/>
      <c r="Q61" s="323" t="s">
        <v>385</v>
      </c>
      <c r="R61" s="219"/>
      <c r="S61" s="334">
        <v>2.99</v>
      </c>
      <c r="U61" s="208" t="s">
        <v>277</v>
      </c>
      <c r="V61" s="70"/>
      <c r="W61" s="224">
        <v>0.5287669573505215</v>
      </c>
    </row>
    <row r="62">
      <c r="D62" s="7"/>
      <c r="J62" s="7"/>
      <c r="P62" s="7"/>
      <c r="Q62" s="221" t="s">
        <v>389</v>
      </c>
      <c r="R62" s="222"/>
      <c r="S62" s="223">
        <f>((('PREROLL IN_OUT'!D19)*(1-S60))+(S60*S61))*S59</f>
        <v>2.24776964</v>
      </c>
      <c r="U62" s="208" t="s">
        <v>95</v>
      </c>
      <c r="V62" s="70"/>
      <c r="W62" s="209">
        <v>0.11</v>
      </c>
    </row>
    <row r="63">
      <c r="D63" s="7"/>
      <c r="J63" s="7"/>
      <c r="P63" s="7"/>
      <c r="Q63" s="208" t="s">
        <v>276</v>
      </c>
      <c r="R63" s="70"/>
      <c r="S63" s="224">
        <f>S62/S68</f>
        <v>0.5581062382</v>
      </c>
      <c r="U63" s="208" t="s">
        <v>106</v>
      </c>
      <c r="V63" s="70"/>
      <c r="W63" s="225">
        <v>0.023275513466362897</v>
      </c>
    </row>
    <row r="64">
      <c r="D64" s="7"/>
      <c r="J64" s="7"/>
      <c r="P64" s="7"/>
      <c r="Q64" s="208" t="s">
        <v>95</v>
      </c>
      <c r="R64" s="70"/>
      <c r="S64" s="209">
        <v>0.113</v>
      </c>
      <c r="U64" s="208" t="s">
        <v>114</v>
      </c>
      <c r="V64" s="70"/>
      <c r="W64" s="228">
        <v>0.082</v>
      </c>
    </row>
    <row r="65">
      <c r="D65" s="7"/>
      <c r="J65" s="7"/>
      <c r="P65" s="7"/>
      <c r="Q65" s="208" t="s">
        <v>106</v>
      </c>
      <c r="R65" s="70"/>
      <c r="S65" s="225">
        <f>S64/S68</f>
        <v>0.02805714776</v>
      </c>
      <c r="U65" s="208" t="s">
        <v>128</v>
      </c>
      <c r="V65" s="70"/>
      <c r="W65" s="225">
        <v>0.01396530807981774</v>
      </c>
    </row>
    <row r="66">
      <c r="D66" s="7"/>
      <c r="J66" s="7"/>
      <c r="P66" s="7"/>
      <c r="Q66" s="208" t="s">
        <v>114</v>
      </c>
      <c r="R66" s="70"/>
      <c r="S66" s="228">
        <v>0.082</v>
      </c>
      <c r="U66" s="229" t="s">
        <v>144</v>
      </c>
      <c r="V66" s="133"/>
      <c r="W66" s="230">
        <f>W64+W62+W60+W57</f>
        <v>4.730285749</v>
      </c>
    </row>
    <row r="67">
      <c r="D67" s="7"/>
      <c r="J67" s="7"/>
      <c r="P67" s="7"/>
      <c r="Q67" s="208" t="s">
        <v>128</v>
      </c>
      <c r="R67" s="70"/>
      <c r="S67" s="225">
        <f>S66/S68</f>
        <v>0.02036005413</v>
      </c>
      <c r="U67" s="231" t="s">
        <v>159</v>
      </c>
      <c r="V67" s="232"/>
      <c r="W67" s="233">
        <v>1.0</v>
      </c>
    </row>
    <row r="68">
      <c r="D68" s="7"/>
      <c r="J68" s="7"/>
      <c r="P68" s="7"/>
      <c r="Q68" s="282" t="s">
        <v>144</v>
      </c>
      <c r="R68" s="283"/>
      <c r="S68" s="230">
        <f>S57+S64+S66+S62</f>
        <v>4.027494204</v>
      </c>
    </row>
    <row r="69" ht="23.25" customHeight="1">
      <c r="D69" s="7"/>
      <c r="J69" s="7"/>
      <c r="P69" s="7"/>
      <c r="Q69" s="288" t="s">
        <v>159</v>
      </c>
      <c r="R69" s="290"/>
      <c r="S69" s="292">
        <f>S67+S65+S58+S63</f>
        <v>1</v>
      </c>
    </row>
    <row r="70">
      <c r="D70" s="7"/>
      <c r="J70" s="7"/>
      <c r="P70" s="7"/>
    </row>
    <row r="71">
      <c r="D71" s="7"/>
      <c r="J71" s="7"/>
      <c r="P71" s="7"/>
    </row>
    <row r="72">
      <c r="D72" s="7"/>
      <c r="J72" s="7"/>
      <c r="P72" s="7"/>
    </row>
    <row r="73">
      <c r="D73" s="7"/>
      <c r="J73" s="7"/>
      <c r="P73" s="7"/>
    </row>
    <row r="74">
      <c r="D74" s="7"/>
      <c r="J74" s="7"/>
      <c r="P74" s="7"/>
    </row>
    <row r="75">
      <c r="D75" s="7"/>
      <c r="J75" s="7"/>
      <c r="P75" s="7"/>
    </row>
    <row r="76">
      <c r="D76" s="7"/>
      <c r="J76" s="7"/>
      <c r="P76" s="7"/>
    </row>
    <row r="77">
      <c r="D77" s="7"/>
      <c r="J77" s="7"/>
      <c r="P77" s="7"/>
    </row>
    <row r="78">
      <c r="D78" s="7"/>
      <c r="J78" s="7"/>
      <c r="P78" s="7"/>
    </row>
    <row r="79">
      <c r="D79" s="7"/>
      <c r="J79" s="7"/>
      <c r="P79" s="7"/>
    </row>
    <row r="80">
      <c r="D80" s="7"/>
      <c r="J80" s="7"/>
      <c r="P80" s="7"/>
    </row>
    <row r="81">
      <c r="D81" s="7"/>
      <c r="J81" s="7"/>
      <c r="P81" s="7"/>
    </row>
    <row r="82">
      <c r="D82" s="7"/>
      <c r="J82" s="7"/>
      <c r="P82" s="7"/>
    </row>
    <row r="83">
      <c r="D83" s="7"/>
      <c r="J83" s="7"/>
      <c r="P83" s="7"/>
    </row>
    <row r="84">
      <c r="D84" s="7"/>
      <c r="J84" s="7"/>
      <c r="P84" s="7"/>
    </row>
    <row r="85">
      <c r="D85" s="7"/>
      <c r="J85" s="7"/>
      <c r="P85" s="7"/>
    </row>
    <row r="86">
      <c r="D86" s="7"/>
      <c r="J86" s="7"/>
      <c r="P86" s="7"/>
    </row>
    <row r="87">
      <c r="D87" s="7"/>
      <c r="J87" s="7"/>
      <c r="P87" s="7"/>
    </row>
    <row r="88">
      <c r="D88" s="7"/>
      <c r="J88" s="7"/>
      <c r="P88" s="7"/>
    </row>
    <row r="89">
      <c r="D89" s="7"/>
      <c r="J89" s="7"/>
      <c r="P89" s="7"/>
    </row>
    <row r="90">
      <c r="D90" s="7"/>
      <c r="J90" s="7"/>
      <c r="P90" s="7"/>
    </row>
    <row r="91">
      <c r="D91" s="7"/>
      <c r="J91" s="7"/>
      <c r="P91" s="7"/>
    </row>
    <row r="92">
      <c r="D92" s="7"/>
      <c r="J92" s="7"/>
      <c r="P92" s="7"/>
    </row>
    <row r="93">
      <c r="D93" s="7"/>
      <c r="J93" s="7"/>
      <c r="P93" s="7"/>
    </row>
    <row r="94">
      <c r="D94" s="7"/>
      <c r="J94" s="7"/>
      <c r="P94" s="7"/>
    </row>
    <row r="95">
      <c r="D95" s="7"/>
      <c r="J95" s="7"/>
      <c r="P95" s="7"/>
    </row>
    <row r="96">
      <c r="D96" s="7"/>
      <c r="J96" s="7"/>
      <c r="P96" s="7"/>
    </row>
    <row r="97">
      <c r="D97" s="7"/>
      <c r="J97" s="7"/>
      <c r="P97" s="7"/>
    </row>
    <row r="98">
      <c r="D98" s="7"/>
      <c r="J98" s="7"/>
      <c r="P98" s="7"/>
    </row>
    <row r="99">
      <c r="D99" s="7"/>
      <c r="J99" s="7"/>
      <c r="P99" s="7"/>
    </row>
    <row r="100">
      <c r="D100" s="7"/>
      <c r="J100" s="7"/>
      <c r="P100" s="7"/>
    </row>
    <row r="101">
      <c r="D101" s="7"/>
      <c r="J101" s="7"/>
      <c r="P101" s="7"/>
    </row>
    <row r="102">
      <c r="D102" s="7"/>
      <c r="J102" s="7"/>
      <c r="P102" s="7"/>
    </row>
    <row r="103">
      <c r="D103" s="7"/>
      <c r="J103" s="7"/>
      <c r="P103" s="7"/>
    </row>
    <row r="104">
      <c r="D104" s="7"/>
      <c r="J104" s="7"/>
      <c r="P104" s="7"/>
    </row>
    <row r="105">
      <c r="D105" s="7"/>
      <c r="J105" s="7"/>
      <c r="P105" s="7"/>
    </row>
    <row r="106">
      <c r="D106" s="7"/>
      <c r="J106" s="7"/>
      <c r="P106" s="7"/>
    </row>
    <row r="107">
      <c r="D107" s="7"/>
      <c r="J107" s="7"/>
      <c r="P107" s="7"/>
    </row>
    <row r="108">
      <c r="D108" s="7"/>
      <c r="J108" s="7"/>
      <c r="P108" s="7"/>
    </row>
    <row r="109">
      <c r="D109" s="7"/>
      <c r="J109" s="7"/>
      <c r="P109" s="7"/>
    </row>
    <row r="110">
      <c r="D110" s="7"/>
      <c r="J110" s="7"/>
      <c r="P110" s="7"/>
    </row>
    <row r="111">
      <c r="D111" s="7"/>
      <c r="J111" s="7"/>
      <c r="P111" s="7"/>
    </row>
    <row r="112">
      <c r="D112" s="7"/>
      <c r="J112" s="7"/>
      <c r="P112" s="7"/>
    </row>
    <row r="113">
      <c r="D113" s="7"/>
      <c r="J113" s="7"/>
      <c r="P113" s="7"/>
    </row>
    <row r="114">
      <c r="D114" s="7"/>
      <c r="J114" s="7"/>
      <c r="P114" s="7"/>
    </row>
    <row r="115">
      <c r="D115" s="7"/>
      <c r="J115" s="7"/>
      <c r="P115" s="7"/>
    </row>
    <row r="116">
      <c r="D116" s="7"/>
      <c r="J116" s="7"/>
      <c r="P116" s="7"/>
    </row>
    <row r="117">
      <c r="D117" s="7"/>
      <c r="J117" s="7"/>
      <c r="P117" s="7"/>
    </row>
    <row r="118">
      <c r="D118" s="7"/>
      <c r="J118" s="7"/>
      <c r="P118" s="7"/>
    </row>
    <row r="119">
      <c r="D119" s="7"/>
      <c r="J119" s="7"/>
      <c r="P119" s="7"/>
    </row>
    <row r="120">
      <c r="D120" s="7"/>
      <c r="J120" s="7"/>
      <c r="P120" s="7"/>
    </row>
    <row r="121">
      <c r="D121" s="7"/>
      <c r="J121" s="7"/>
      <c r="P121" s="7"/>
    </row>
    <row r="122">
      <c r="D122" s="7"/>
      <c r="J122" s="7"/>
      <c r="P122" s="7"/>
    </row>
    <row r="123">
      <c r="D123" s="7"/>
      <c r="J123" s="7"/>
      <c r="P123" s="7"/>
    </row>
    <row r="124">
      <c r="D124" s="7"/>
      <c r="J124" s="7"/>
      <c r="P124" s="7"/>
    </row>
    <row r="125">
      <c r="D125" s="7"/>
      <c r="J125" s="7"/>
      <c r="P125" s="7"/>
    </row>
    <row r="126">
      <c r="D126" s="7"/>
      <c r="J126" s="7"/>
      <c r="P126" s="7"/>
    </row>
    <row r="127">
      <c r="D127" s="7"/>
      <c r="J127" s="7"/>
      <c r="P127" s="7"/>
    </row>
    <row r="128">
      <c r="D128" s="7"/>
      <c r="J128" s="7"/>
      <c r="P128" s="7"/>
    </row>
    <row r="129">
      <c r="D129" s="7"/>
      <c r="J129" s="7"/>
      <c r="P129" s="7"/>
    </row>
    <row r="130">
      <c r="D130" s="7"/>
      <c r="J130" s="7"/>
      <c r="P130" s="7"/>
    </row>
    <row r="131">
      <c r="D131" s="7"/>
      <c r="J131" s="7"/>
      <c r="P131" s="7"/>
    </row>
    <row r="132">
      <c r="D132" s="7"/>
      <c r="J132" s="7"/>
      <c r="P132" s="7"/>
    </row>
    <row r="133">
      <c r="D133" s="7"/>
      <c r="J133" s="7"/>
      <c r="P133" s="7"/>
    </row>
    <row r="134">
      <c r="D134" s="7"/>
      <c r="J134" s="7"/>
      <c r="P134" s="7"/>
    </row>
    <row r="135">
      <c r="D135" s="7"/>
      <c r="J135" s="7"/>
      <c r="P135" s="7"/>
    </row>
    <row r="136">
      <c r="D136" s="7"/>
      <c r="J136" s="7"/>
      <c r="P136" s="7"/>
    </row>
    <row r="137">
      <c r="D137" s="7"/>
      <c r="J137" s="7"/>
      <c r="P137" s="7"/>
    </row>
    <row r="138">
      <c r="D138" s="7"/>
      <c r="J138" s="7"/>
      <c r="P138" s="7"/>
    </row>
    <row r="139">
      <c r="D139" s="7"/>
      <c r="J139" s="7"/>
      <c r="P139" s="7"/>
    </row>
    <row r="140">
      <c r="D140" s="7"/>
      <c r="J140" s="7"/>
      <c r="P140" s="7"/>
    </row>
    <row r="141">
      <c r="D141" s="7"/>
      <c r="J141" s="7"/>
      <c r="P141" s="7"/>
    </row>
    <row r="142">
      <c r="D142" s="7"/>
      <c r="J142" s="7"/>
      <c r="P142" s="7"/>
    </row>
    <row r="143">
      <c r="D143" s="7"/>
      <c r="J143" s="7"/>
      <c r="P143" s="7"/>
    </row>
    <row r="144">
      <c r="D144" s="7"/>
      <c r="J144" s="7"/>
      <c r="P144" s="7"/>
    </row>
    <row r="145">
      <c r="D145" s="7"/>
      <c r="J145" s="7"/>
      <c r="P145" s="7"/>
    </row>
    <row r="146">
      <c r="D146" s="7"/>
      <c r="J146" s="7"/>
      <c r="P146" s="7"/>
    </row>
    <row r="147">
      <c r="D147" s="7"/>
      <c r="J147" s="7"/>
      <c r="P147" s="7"/>
    </row>
    <row r="148">
      <c r="D148" s="7"/>
      <c r="J148" s="7"/>
      <c r="P148" s="7"/>
    </row>
    <row r="149">
      <c r="D149" s="7"/>
      <c r="J149" s="7"/>
      <c r="P149" s="7"/>
    </row>
    <row r="150">
      <c r="D150" s="7"/>
      <c r="J150" s="7"/>
      <c r="P150" s="7"/>
    </row>
    <row r="151">
      <c r="D151" s="7"/>
      <c r="J151" s="7"/>
      <c r="P151" s="7"/>
    </row>
    <row r="152">
      <c r="D152" s="7"/>
      <c r="J152" s="7"/>
      <c r="P152" s="7"/>
    </row>
    <row r="153">
      <c r="D153" s="7"/>
      <c r="J153" s="7"/>
      <c r="P153" s="7"/>
    </row>
    <row r="154">
      <c r="D154" s="7"/>
      <c r="J154" s="7"/>
      <c r="P154" s="7"/>
    </row>
    <row r="155">
      <c r="D155" s="7"/>
      <c r="J155" s="7"/>
      <c r="P155" s="7"/>
    </row>
    <row r="156">
      <c r="D156" s="7"/>
      <c r="J156" s="7"/>
      <c r="P156" s="7"/>
    </row>
    <row r="157">
      <c r="D157" s="7"/>
      <c r="J157" s="7"/>
      <c r="P157" s="7"/>
    </row>
    <row r="158">
      <c r="D158" s="7"/>
      <c r="J158" s="7"/>
      <c r="P158" s="7"/>
    </row>
    <row r="159">
      <c r="D159" s="7"/>
      <c r="J159" s="7"/>
      <c r="P159" s="7"/>
    </row>
    <row r="160">
      <c r="D160" s="7"/>
      <c r="J160" s="7"/>
      <c r="P160" s="7"/>
    </row>
    <row r="161">
      <c r="D161" s="7"/>
      <c r="J161" s="7"/>
      <c r="P161" s="7"/>
    </row>
    <row r="162">
      <c r="D162" s="7"/>
      <c r="J162" s="7"/>
      <c r="P162" s="7"/>
    </row>
    <row r="163">
      <c r="D163" s="7"/>
      <c r="J163" s="7"/>
      <c r="P163" s="7"/>
    </row>
    <row r="164">
      <c r="D164" s="7"/>
      <c r="J164" s="7"/>
      <c r="P164" s="7"/>
    </row>
    <row r="165">
      <c r="D165" s="7"/>
      <c r="J165" s="7"/>
      <c r="P165" s="7"/>
    </row>
    <row r="166">
      <c r="D166" s="7"/>
      <c r="J166" s="7"/>
      <c r="P166" s="7"/>
    </row>
    <row r="167">
      <c r="D167" s="7"/>
      <c r="J167" s="7"/>
      <c r="P167" s="7"/>
    </row>
    <row r="168">
      <c r="D168" s="7"/>
      <c r="J168" s="7"/>
      <c r="P168" s="7"/>
    </row>
    <row r="169">
      <c r="D169" s="7"/>
      <c r="J169" s="7"/>
      <c r="P169" s="7"/>
    </row>
    <row r="170">
      <c r="D170" s="7"/>
      <c r="J170" s="7"/>
      <c r="P170" s="7"/>
    </row>
    <row r="171">
      <c r="D171" s="7"/>
      <c r="J171" s="7"/>
      <c r="P171" s="7"/>
    </row>
    <row r="172">
      <c r="D172" s="7"/>
      <c r="J172" s="7"/>
      <c r="P172" s="7"/>
    </row>
    <row r="173">
      <c r="D173" s="7"/>
      <c r="J173" s="7"/>
      <c r="P173" s="7"/>
    </row>
    <row r="174">
      <c r="D174" s="7"/>
      <c r="J174" s="7"/>
      <c r="P174" s="7"/>
    </row>
    <row r="175">
      <c r="D175" s="7"/>
      <c r="J175" s="7"/>
      <c r="P175" s="7"/>
    </row>
    <row r="176">
      <c r="D176" s="7"/>
      <c r="J176" s="7"/>
      <c r="P176" s="7"/>
    </row>
    <row r="177">
      <c r="D177" s="7"/>
      <c r="J177" s="7"/>
      <c r="P177" s="7"/>
    </row>
    <row r="178">
      <c r="D178" s="7"/>
      <c r="J178" s="7"/>
      <c r="P178" s="7"/>
    </row>
    <row r="179">
      <c r="D179" s="7"/>
      <c r="J179" s="7"/>
      <c r="P179" s="7"/>
    </row>
    <row r="180">
      <c r="D180" s="7"/>
      <c r="J180" s="7"/>
      <c r="P180" s="7"/>
    </row>
    <row r="181">
      <c r="D181" s="7"/>
      <c r="J181" s="7"/>
      <c r="P181" s="7"/>
    </row>
    <row r="182">
      <c r="D182" s="7"/>
      <c r="J182" s="7"/>
      <c r="P182" s="7"/>
    </row>
    <row r="183">
      <c r="D183" s="7"/>
      <c r="J183" s="7"/>
      <c r="P183" s="7"/>
    </row>
    <row r="184">
      <c r="D184" s="7"/>
      <c r="J184" s="7"/>
      <c r="P184" s="7"/>
    </row>
    <row r="185">
      <c r="D185" s="7"/>
      <c r="J185" s="7"/>
      <c r="P185" s="7"/>
    </row>
    <row r="186">
      <c r="D186" s="7"/>
      <c r="J186" s="7"/>
      <c r="P186" s="7"/>
    </row>
    <row r="187">
      <c r="D187" s="7"/>
      <c r="J187" s="7"/>
      <c r="P187" s="7"/>
    </row>
    <row r="188">
      <c r="D188" s="7"/>
      <c r="J188" s="7"/>
      <c r="P188" s="7"/>
    </row>
    <row r="189">
      <c r="D189" s="7"/>
      <c r="J189" s="7"/>
      <c r="P189" s="7"/>
    </row>
    <row r="190">
      <c r="D190" s="7"/>
      <c r="J190" s="7"/>
      <c r="P190" s="7"/>
    </row>
    <row r="191">
      <c r="D191" s="7"/>
      <c r="J191" s="7"/>
      <c r="P191" s="7"/>
    </row>
    <row r="192">
      <c r="D192" s="7"/>
      <c r="J192" s="7"/>
      <c r="P192" s="7"/>
    </row>
    <row r="193">
      <c r="D193" s="7"/>
      <c r="J193" s="7"/>
      <c r="P193" s="7"/>
    </row>
    <row r="194">
      <c r="D194" s="7"/>
      <c r="J194" s="7"/>
      <c r="P194" s="7"/>
    </row>
    <row r="195">
      <c r="D195" s="7"/>
      <c r="J195" s="7"/>
      <c r="P195" s="7"/>
    </row>
    <row r="196">
      <c r="D196" s="7"/>
      <c r="J196" s="7"/>
      <c r="P196" s="7"/>
    </row>
    <row r="197">
      <c r="D197" s="7"/>
      <c r="J197" s="7"/>
      <c r="P197" s="7"/>
    </row>
    <row r="198">
      <c r="D198" s="7"/>
      <c r="J198" s="7"/>
      <c r="P198" s="7"/>
    </row>
    <row r="199">
      <c r="D199" s="7"/>
      <c r="J199" s="7"/>
      <c r="P199" s="7"/>
    </row>
    <row r="200">
      <c r="D200" s="7"/>
      <c r="J200" s="7"/>
      <c r="P200" s="7"/>
    </row>
    <row r="201">
      <c r="D201" s="7"/>
      <c r="J201" s="7"/>
      <c r="P201" s="7"/>
    </row>
    <row r="202">
      <c r="D202" s="7"/>
      <c r="J202" s="7"/>
      <c r="P202" s="7"/>
    </row>
    <row r="203">
      <c r="D203" s="7"/>
      <c r="J203" s="7"/>
      <c r="P203" s="7"/>
    </row>
    <row r="204">
      <c r="D204" s="7"/>
      <c r="J204" s="7"/>
      <c r="P204" s="7"/>
    </row>
    <row r="205">
      <c r="D205" s="7"/>
      <c r="J205" s="7"/>
      <c r="P205" s="7"/>
    </row>
    <row r="206">
      <c r="D206" s="7"/>
      <c r="J206" s="7"/>
      <c r="P206" s="7"/>
    </row>
    <row r="207">
      <c r="D207" s="7"/>
      <c r="J207" s="7"/>
      <c r="P207" s="7"/>
    </row>
    <row r="208">
      <c r="D208" s="7"/>
      <c r="J208" s="7"/>
      <c r="P208" s="7"/>
    </row>
    <row r="209">
      <c r="D209" s="7"/>
      <c r="J209" s="7"/>
      <c r="P209" s="7"/>
    </row>
    <row r="210">
      <c r="D210" s="7"/>
      <c r="J210" s="7"/>
      <c r="P210" s="7"/>
    </row>
    <row r="211">
      <c r="D211" s="7"/>
      <c r="J211" s="7"/>
      <c r="P211" s="7"/>
    </row>
    <row r="212">
      <c r="D212" s="7"/>
      <c r="J212" s="7"/>
      <c r="P212" s="7"/>
    </row>
    <row r="213">
      <c r="D213" s="7"/>
      <c r="J213" s="7"/>
      <c r="P213" s="7"/>
    </row>
    <row r="214">
      <c r="D214" s="7"/>
      <c r="J214" s="7"/>
      <c r="P214" s="7"/>
    </row>
    <row r="215">
      <c r="D215" s="7"/>
      <c r="J215" s="7"/>
      <c r="P215" s="7"/>
    </row>
    <row r="216">
      <c r="D216" s="7"/>
      <c r="J216" s="7"/>
      <c r="P216" s="7"/>
    </row>
    <row r="217">
      <c r="D217" s="7"/>
      <c r="J217" s="7"/>
      <c r="P217" s="7"/>
    </row>
    <row r="218">
      <c r="D218" s="7"/>
      <c r="J218" s="7"/>
      <c r="P218" s="7"/>
    </row>
    <row r="219">
      <c r="D219" s="7"/>
      <c r="J219" s="7"/>
      <c r="P219" s="7"/>
    </row>
    <row r="220">
      <c r="D220" s="7"/>
      <c r="J220" s="7"/>
      <c r="P220" s="7"/>
    </row>
    <row r="221">
      <c r="D221" s="7"/>
      <c r="J221" s="7"/>
      <c r="P221" s="7"/>
    </row>
    <row r="222">
      <c r="D222" s="7"/>
      <c r="J222" s="7"/>
      <c r="P222" s="7"/>
    </row>
    <row r="223">
      <c r="D223" s="7"/>
      <c r="J223" s="7"/>
      <c r="P223" s="7"/>
    </row>
    <row r="224">
      <c r="D224" s="7"/>
      <c r="J224" s="7"/>
      <c r="P224" s="7"/>
    </row>
    <row r="225">
      <c r="D225" s="7"/>
      <c r="J225" s="7"/>
      <c r="P225" s="7"/>
    </row>
    <row r="226">
      <c r="D226" s="7"/>
      <c r="J226" s="7"/>
      <c r="P226" s="7"/>
    </row>
    <row r="227">
      <c r="D227" s="7"/>
      <c r="J227" s="7"/>
      <c r="P227" s="7"/>
    </row>
    <row r="228">
      <c r="D228" s="7"/>
      <c r="J228" s="7"/>
      <c r="P228" s="7"/>
    </row>
    <row r="229">
      <c r="D229" s="7"/>
      <c r="J229" s="7"/>
      <c r="P229" s="7"/>
    </row>
    <row r="230">
      <c r="D230" s="7"/>
      <c r="J230" s="7"/>
      <c r="P230" s="7"/>
    </row>
    <row r="231">
      <c r="D231" s="7"/>
      <c r="J231" s="7"/>
      <c r="P231" s="7"/>
    </row>
    <row r="232">
      <c r="D232" s="7"/>
      <c r="J232" s="7"/>
      <c r="P232" s="7"/>
    </row>
    <row r="233">
      <c r="D233" s="7"/>
      <c r="J233" s="7"/>
      <c r="P233" s="7"/>
    </row>
    <row r="234">
      <c r="D234" s="7"/>
      <c r="J234" s="7"/>
      <c r="P234" s="7"/>
    </row>
    <row r="235">
      <c r="D235" s="7"/>
      <c r="J235" s="7"/>
      <c r="P235" s="7"/>
    </row>
    <row r="236">
      <c r="D236" s="7"/>
      <c r="J236" s="7"/>
      <c r="P236" s="7"/>
    </row>
    <row r="237">
      <c r="D237" s="7"/>
      <c r="J237" s="7"/>
      <c r="P237" s="7"/>
    </row>
    <row r="238">
      <c r="D238" s="7"/>
      <c r="J238" s="7"/>
      <c r="P238" s="7"/>
    </row>
    <row r="239">
      <c r="D239" s="7"/>
      <c r="J239" s="7"/>
      <c r="P239" s="7"/>
    </row>
    <row r="240">
      <c r="D240" s="7"/>
      <c r="J240" s="7"/>
      <c r="P240" s="7"/>
    </row>
    <row r="241">
      <c r="D241" s="7"/>
      <c r="J241" s="7"/>
      <c r="P241" s="7"/>
    </row>
    <row r="242">
      <c r="D242" s="7"/>
      <c r="J242" s="7"/>
      <c r="P242" s="7"/>
    </row>
    <row r="243">
      <c r="D243" s="7"/>
      <c r="J243" s="7"/>
      <c r="P243" s="7"/>
    </row>
    <row r="244">
      <c r="D244" s="7"/>
      <c r="J244" s="7"/>
      <c r="P244" s="7"/>
    </row>
    <row r="245">
      <c r="D245" s="7"/>
      <c r="J245" s="7"/>
      <c r="P245" s="7"/>
    </row>
    <row r="246">
      <c r="D246" s="7"/>
      <c r="J246" s="7"/>
      <c r="P246" s="7"/>
    </row>
    <row r="247">
      <c r="D247" s="7"/>
      <c r="J247" s="7"/>
      <c r="P247" s="7"/>
    </row>
    <row r="248">
      <c r="D248" s="7"/>
      <c r="J248" s="7"/>
      <c r="P248" s="7"/>
    </row>
    <row r="249">
      <c r="D249" s="7"/>
      <c r="J249" s="7"/>
      <c r="P249" s="7"/>
    </row>
    <row r="250">
      <c r="D250" s="7"/>
      <c r="J250" s="7"/>
      <c r="P250" s="7"/>
    </row>
    <row r="251">
      <c r="D251" s="7"/>
      <c r="J251" s="7"/>
      <c r="P251" s="7"/>
    </row>
    <row r="252">
      <c r="D252" s="7"/>
      <c r="J252" s="7"/>
      <c r="P252" s="7"/>
    </row>
    <row r="253">
      <c r="D253" s="7"/>
      <c r="J253" s="7"/>
      <c r="P253" s="7"/>
    </row>
    <row r="254">
      <c r="D254" s="7"/>
      <c r="J254" s="7"/>
      <c r="P254" s="7"/>
    </row>
    <row r="255">
      <c r="D255" s="7"/>
      <c r="J255" s="7"/>
      <c r="P255" s="7"/>
    </row>
    <row r="256">
      <c r="D256" s="7"/>
      <c r="J256" s="7"/>
      <c r="P256" s="7"/>
    </row>
    <row r="257">
      <c r="D257" s="7"/>
      <c r="J257" s="7"/>
      <c r="P257" s="7"/>
    </row>
    <row r="258">
      <c r="D258" s="7"/>
      <c r="J258" s="7"/>
      <c r="P258" s="7"/>
    </row>
    <row r="259">
      <c r="D259" s="7"/>
      <c r="J259" s="7"/>
      <c r="P259" s="7"/>
    </row>
    <row r="260">
      <c r="D260" s="7"/>
      <c r="J260" s="7"/>
      <c r="P260" s="7"/>
    </row>
    <row r="261">
      <c r="D261" s="7"/>
      <c r="J261" s="7"/>
      <c r="P261" s="7"/>
    </row>
    <row r="262">
      <c r="D262" s="7"/>
      <c r="J262" s="7"/>
      <c r="P262" s="7"/>
    </row>
    <row r="263">
      <c r="D263" s="7"/>
      <c r="J263" s="7"/>
      <c r="P263" s="7"/>
    </row>
    <row r="264">
      <c r="D264" s="7"/>
      <c r="J264" s="7"/>
      <c r="P264" s="7"/>
    </row>
    <row r="265">
      <c r="D265" s="7"/>
      <c r="J265" s="7"/>
      <c r="P265" s="7"/>
    </row>
    <row r="266">
      <c r="D266" s="7"/>
      <c r="J266" s="7"/>
      <c r="P266" s="7"/>
    </row>
    <row r="267">
      <c r="D267" s="7"/>
      <c r="J267" s="7"/>
      <c r="P267" s="7"/>
    </row>
    <row r="268">
      <c r="D268" s="7"/>
      <c r="J268" s="7"/>
      <c r="P268" s="7"/>
    </row>
    <row r="269">
      <c r="D269" s="7"/>
      <c r="J269" s="7"/>
      <c r="P269" s="7"/>
    </row>
    <row r="270">
      <c r="D270" s="7"/>
      <c r="J270" s="7"/>
      <c r="P270" s="7"/>
    </row>
    <row r="271">
      <c r="D271" s="7"/>
      <c r="J271" s="7"/>
      <c r="P271" s="7"/>
    </row>
    <row r="272">
      <c r="D272" s="7"/>
      <c r="J272" s="7"/>
      <c r="P272" s="7"/>
    </row>
    <row r="273">
      <c r="D273" s="7"/>
      <c r="J273" s="7"/>
      <c r="P273" s="7"/>
    </row>
    <row r="274">
      <c r="D274" s="7"/>
      <c r="J274" s="7"/>
      <c r="P274" s="7"/>
    </row>
    <row r="275">
      <c r="D275" s="7"/>
      <c r="J275" s="7"/>
      <c r="P275" s="7"/>
    </row>
    <row r="276">
      <c r="D276" s="7"/>
      <c r="J276" s="7"/>
      <c r="P276" s="7"/>
    </row>
    <row r="277">
      <c r="D277" s="7"/>
      <c r="J277" s="7"/>
      <c r="P277" s="7"/>
    </row>
    <row r="278">
      <c r="D278" s="7"/>
      <c r="J278" s="7"/>
      <c r="P278" s="7"/>
    </row>
    <row r="279">
      <c r="D279" s="7"/>
      <c r="J279" s="7"/>
      <c r="P279" s="7"/>
    </row>
    <row r="280">
      <c r="D280" s="7"/>
      <c r="J280" s="7"/>
      <c r="P280" s="7"/>
    </row>
    <row r="281">
      <c r="D281" s="7"/>
      <c r="J281" s="7"/>
      <c r="P281" s="7"/>
    </row>
    <row r="282">
      <c r="D282" s="7"/>
      <c r="J282" s="7"/>
      <c r="P282" s="7"/>
    </row>
    <row r="283">
      <c r="D283" s="7"/>
      <c r="J283" s="7"/>
      <c r="P283" s="7"/>
    </row>
    <row r="284">
      <c r="D284" s="7"/>
      <c r="J284" s="7"/>
      <c r="P284" s="7"/>
    </row>
    <row r="285">
      <c r="D285" s="7"/>
      <c r="J285" s="7"/>
      <c r="P285" s="7"/>
    </row>
    <row r="286">
      <c r="D286" s="7"/>
      <c r="J286" s="7"/>
      <c r="P286" s="7"/>
    </row>
    <row r="287">
      <c r="D287" s="7"/>
      <c r="J287" s="7"/>
      <c r="P287" s="7"/>
    </row>
    <row r="288">
      <c r="D288" s="7"/>
      <c r="J288" s="7"/>
      <c r="P288" s="7"/>
    </row>
    <row r="289">
      <c r="D289" s="7"/>
      <c r="J289" s="7"/>
      <c r="P289" s="7"/>
    </row>
    <row r="290">
      <c r="D290" s="7"/>
      <c r="J290" s="7"/>
      <c r="P290" s="7"/>
    </row>
    <row r="291">
      <c r="D291" s="7"/>
      <c r="J291" s="7"/>
      <c r="P291" s="7"/>
    </row>
    <row r="292">
      <c r="D292" s="7"/>
      <c r="J292" s="7"/>
      <c r="P292" s="7"/>
    </row>
    <row r="293">
      <c r="D293" s="7"/>
      <c r="J293" s="7"/>
      <c r="P293" s="7"/>
    </row>
    <row r="294">
      <c r="D294" s="7"/>
      <c r="J294" s="7"/>
      <c r="P294" s="7"/>
    </row>
    <row r="295">
      <c r="D295" s="7"/>
      <c r="J295" s="7"/>
      <c r="P295" s="7"/>
    </row>
    <row r="296">
      <c r="D296" s="7"/>
      <c r="J296" s="7"/>
      <c r="P296" s="7"/>
    </row>
    <row r="297">
      <c r="D297" s="7"/>
      <c r="J297" s="7"/>
      <c r="P297" s="7"/>
    </row>
    <row r="298">
      <c r="D298" s="7"/>
      <c r="J298" s="7"/>
      <c r="P298" s="7"/>
    </row>
    <row r="299">
      <c r="D299" s="7"/>
      <c r="J299" s="7"/>
      <c r="P299" s="7"/>
    </row>
    <row r="300">
      <c r="D300" s="7"/>
      <c r="J300" s="7"/>
      <c r="P300" s="7"/>
    </row>
    <row r="301">
      <c r="D301" s="7"/>
      <c r="J301" s="7"/>
      <c r="P301" s="7"/>
    </row>
    <row r="302">
      <c r="D302" s="7"/>
      <c r="J302" s="7"/>
      <c r="P302" s="7"/>
    </row>
    <row r="303">
      <c r="D303" s="7"/>
      <c r="J303" s="7"/>
      <c r="P303" s="7"/>
    </row>
    <row r="304">
      <c r="D304" s="7"/>
      <c r="J304" s="7"/>
      <c r="P304" s="7"/>
    </row>
    <row r="305">
      <c r="D305" s="7"/>
      <c r="J305" s="7"/>
      <c r="P305" s="7"/>
    </row>
    <row r="306">
      <c r="D306" s="7"/>
      <c r="J306" s="7"/>
      <c r="P306" s="7"/>
    </row>
    <row r="307">
      <c r="D307" s="7"/>
      <c r="J307" s="7"/>
      <c r="P307" s="7"/>
    </row>
    <row r="308">
      <c r="D308" s="7"/>
      <c r="J308" s="7"/>
      <c r="P308" s="7"/>
    </row>
    <row r="309">
      <c r="D309" s="7"/>
      <c r="J309" s="7"/>
      <c r="P309" s="7"/>
    </row>
    <row r="310">
      <c r="D310" s="7"/>
      <c r="J310" s="7"/>
      <c r="P310" s="7"/>
    </row>
    <row r="311">
      <c r="D311" s="7"/>
      <c r="J311" s="7"/>
      <c r="P311" s="7"/>
    </row>
    <row r="312">
      <c r="D312" s="7"/>
      <c r="J312" s="7"/>
      <c r="P312" s="7"/>
    </row>
    <row r="313">
      <c r="D313" s="7"/>
      <c r="J313" s="7"/>
      <c r="P313" s="7"/>
    </row>
    <row r="314">
      <c r="D314" s="7"/>
      <c r="J314" s="7"/>
      <c r="P314" s="7"/>
    </row>
    <row r="315">
      <c r="D315" s="7"/>
      <c r="J315" s="7"/>
      <c r="P315" s="7"/>
    </row>
    <row r="316">
      <c r="D316" s="7"/>
      <c r="J316" s="7"/>
      <c r="P316" s="7"/>
    </row>
    <row r="317">
      <c r="D317" s="7"/>
      <c r="J317" s="7"/>
      <c r="P317" s="7"/>
    </row>
    <row r="318">
      <c r="D318" s="7"/>
      <c r="J318" s="7"/>
      <c r="P318" s="7"/>
    </row>
    <row r="319">
      <c r="D319" s="7"/>
      <c r="J319" s="7"/>
      <c r="P319" s="7"/>
    </row>
    <row r="320">
      <c r="D320" s="7"/>
      <c r="J320" s="7"/>
      <c r="P320" s="7"/>
    </row>
    <row r="321">
      <c r="D321" s="7"/>
      <c r="J321" s="7"/>
      <c r="P321" s="7"/>
    </row>
    <row r="322">
      <c r="D322" s="7"/>
      <c r="J322" s="7"/>
      <c r="P322" s="7"/>
    </row>
    <row r="323">
      <c r="D323" s="7"/>
      <c r="J323" s="7"/>
      <c r="P323" s="7"/>
    </row>
    <row r="324">
      <c r="D324" s="7"/>
      <c r="J324" s="7"/>
      <c r="P324" s="7"/>
    </row>
    <row r="325">
      <c r="D325" s="7"/>
      <c r="J325" s="7"/>
      <c r="P325" s="7"/>
    </row>
    <row r="326">
      <c r="D326" s="7"/>
      <c r="J326" s="7"/>
      <c r="P326" s="7"/>
    </row>
    <row r="327">
      <c r="D327" s="7"/>
      <c r="J327" s="7"/>
      <c r="P327" s="7"/>
    </row>
    <row r="328">
      <c r="D328" s="7"/>
      <c r="J328" s="7"/>
      <c r="P328" s="7"/>
    </row>
    <row r="329">
      <c r="D329" s="7"/>
      <c r="J329" s="7"/>
      <c r="P329" s="7"/>
    </row>
    <row r="330">
      <c r="D330" s="7"/>
      <c r="J330" s="7"/>
      <c r="P330" s="7"/>
    </row>
    <row r="331">
      <c r="D331" s="7"/>
      <c r="J331" s="7"/>
      <c r="P331" s="7"/>
    </row>
    <row r="332">
      <c r="D332" s="7"/>
      <c r="J332" s="7"/>
      <c r="P332" s="7"/>
    </row>
    <row r="333">
      <c r="D333" s="7"/>
      <c r="J333" s="7"/>
      <c r="P333" s="7"/>
    </row>
    <row r="334">
      <c r="D334" s="7"/>
      <c r="J334" s="7"/>
      <c r="P334" s="7"/>
    </row>
    <row r="335">
      <c r="D335" s="7"/>
      <c r="J335" s="7"/>
      <c r="P335" s="7"/>
    </row>
    <row r="336">
      <c r="D336" s="7"/>
      <c r="J336" s="7"/>
      <c r="P336" s="7"/>
    </row>
    <row r="337">
      <c r="D337" s="7"/>
      <c r="J337" s="7"/>
      <c r="P337" s="7"/>
    </row>
    <row r="338">
      <c r="D338" s="7"/>
      <c r="J338" s="7"/>
      <c r="P338" s="7"/>
    </row>
    <row r="339">
      <c r="D339" s="7"/>
      <c r="J339" s="7"/>
      <c r="P339" s="7"/>
    </row>
    <row r="340">
      <c r="D340" s="7"/>
      <c r="J340" s="7"/>
      <c r="P340" s="7"/>
    </row>
    <row r="341">
      <c r="D341" s="7"/>
      <c r="J341" s="7"/>
      <c r="P341" s="7"/>
    </row>
    <row r="342">
      <c r="D342" s="7"/>
      <c r="J342" s="7"/>
      <c r="P342" s="7"/>
    </row>
    <row r="343">
      <c r="D343" s="7"/>
      <c r="J343" s="7"/>
      <c r="P343" s="7"/>
    </row>
    <row r="344">
      <c r="D344" s="7"/>
      <c r="J344" s="7"/>
      <c r="P344" s="7"/>
    </row>
    <row r="345">
      <c r="D345" s="7"/>
      <c r="J345" s="7"/>
      <c r="P345" s="7"/>
    </row>
    <row r="346">
      <c r="D346" s="7"/>
      <c r="J346" s="7"/>
      <c r="P346" s="7"/>
    </row>
    <row r="347">
      <c r="D347" s="7"/>
      <c r="J347" s="7"/>
      <c r="P347" s="7"/>
    </row>
    <row r="348">
      <c r="D348" s="7"/>
      <c r="J348" s="7"/>
      <c r="P348" s="7"/>
    </row>
    <row r="349">
      <c r="D349" s="7"/>
      <c r="J349" s="7"/>
      <c r="P349" s="7"/>
    </row>
    <row r="350">
      <c r="D350" s="7"/>
      <c r="J350" s="7"/>
      <c r="P350" s="7"/>
    </row>
    <row r="351">
      <c r="D351" s="7"/>
      <c r="J351" s="7"/>
      <c r="P351" s="7"/>
    </row>
    <row r="352">
      <c r="D352" s="7"/>
      <c r="J352" s="7"/>
      <c r="P352" s="7"/>
    </row>
    <row r="353">
      <c r="D353" s="7"/>
      <c r="J353" s="7"/>
      <c r="P353" s="7"/>
    </row>
    <row r="354">
      <c r="D354" s="7"/>
      <c r="J354" s="7"/>
      <c r="P354" s="7"/>
    </row>
    <row r="355">
      <c r="D355" s="7"/>
      <c r="J355" s="7"/>
      <c r="P355" s="7"/>
    </row>
    <row r="356">
      <c r="D356" s="7"/>
      <c r="J356" s="7"/>
      <c r="P356" s="7"/>
    </row>
    <row r="357">
      <c r="D357" s="7"/>
      <c r="J357" s="7"/>
      <c r="P357" s="7"/>
    </row>
    <row r="358">
      <c r="D358" s="7"/>
      <c r="J358" s="7"/>
      <c r="P358" s="7"/>
    </row>
    <row r="359">
      <c r="D359" s="7"/>
      <c r="J359" s="7"/>
      <c r="P359" s="7"/>
    </row>
    <row r="360">
      <c r="D360" s="7"/>
      <c r="J360" s="7"/>
      <c r="P360" s="7"/>
    </row>
    <row r="361">
      <c r="D361" s="7"/>
      <c r="J361" s="7"/>
      <c r="P361" s="7"/>
    </row>
    <row r="362">
      <c r="D362" s="7"/>
      <c r="J362" s="7"/>
      <c r="P362" s="7"/>
    </row>
    <row r="363">
      <c r="D363" s="7"/>
      <c r="J363" s="7"/>
      <c r="P363" s="7"/>
    </row>
    <row r="364">
      <c r="D364" s="7"/>
      <c r="J364" s="7"/>
      <c r="P364" s="7"/>
    </row>
    <row r="365">
      <c r="D365" s="7"/>
      <c r="J365" s="7"/>
      <c r="P365" s="7"/>
    </row>
    <row r="366">
      <c r="D366" s="7"/>
      <c r="J366" s="7"/>
      <c r="P366" s="7"/>
    </row>
    <row r="367">
      <c r="D367" s="7"/>
      <c r="J367" s="7"/>
      <c r="P367" s="7"/>
    </row>
    <row r="368">
      <c r="D368" s="7"/>
      <c r="J368" s="7"/>
      <c r="P368" s="7"/>
    </row>
    <row r="369">
      <c r="D369" s="7"/>
      <c r="J369" s="7"/>
      <c r="P369" s="7"/>
    </row>
    <row r="370">
      <c r="D370" s="7"/>
      <c r="J370" s="7"/>
      <c r="P370" s="7"/>
    </row>
    <row r="371">
      <c r="D371" s="7"/>
      <c r="J371" s="7"/>
      <c r="P371" s="7"/>
    </row>
    <row r="372">
      <c r="D372" s="7"/>
      <c r="J372" s="7"/>
      <c r="P372" s="7"/>
    </row>
    <row r="373">
      <c r="D373" s="7"/>
      <c r="J373" s="7"/>
      <c r="P373" s="7"/>
    </row>
    <row r="374">
      <c r="D374" s="7"/>
      <c r="J374" s="7"/>
      <c r="P374" s="7"/>
    </row>
    <row r="375">
      <c r="D375" s="7"/>
      <c r="J375" s="7"/>
      <c r="P375" s="7"/>
    </row>
    <row r="376">
      <c r="D376" s="7"/>
      <c r="J376" s="7"/>
      <c r="P376" s="7"/>
    </row>
    <row r="377">
      <c r="D377" s="7"/>
      <c r="J377" s="7"/>
      <c r="P377" s="7"/>
    </row>
    <row r="378">
      <c r="D378" s="7"/>
      <c r="J378" s="7"/>
      <c r="P378" s="7"/>
    </row>
    <row r="379">
      <c r="D379" s="7"/>
      <c r="J379" s="7"/>
      <c r="P379" s="7"/>
    </row>
    <row r="380">
      <c r="D380" s="7"/>
      <c r="J380" s="7"/>
      <c r="P380" s="7"/>
    </row>
    <row r="381">
      <c r="D381" s="7"/>
      <c r="J381" s="7"/>
      <c r="P381" s="7"/>
    </row>
    <row r="382">
      <c r="D382" s="7"/>
      <c r="J382" s="7"/>
      <c r="P382" s="7"/>
    </row>
    <row r="383">
      <c r="D383" s="7"/>
      <c r="J383" s="7"/>
      <c r="P383" s="7"/>
    </row>
    <row r="384">
      <c r="D384" s="7"/>
      <c r="J384" s="7"/>
      <c r="P384" s="7"/>
    </row>
    <row r="385">
      <c r="D385" s="7"/>
      <c r="J385" s="7"/>
      <c r="P385" s="7"/>
    </row>
    <row r="386">
      <c r="D386" s="7"/>
      <c r="J386" s="7"/>
      <c r="P386" s="7"/>
    </row>
    <row r="387">
      <c r="D387" s="7"/>
      <c r="J387" s="7"/>
      <c r="P387" s="7"/>
    </row>
    <row r="388">
      <c r="D388" s="7"/>
      <c r="J388" s="7"/>
      <c r="P388" s="7"/>
    </row>
    <row r="389">
      <c r="D389" s="7"/>
      <c r="J389" s="7"/>
      <c r="P389" s="7"/>
    </row>
    <row r="390">
      <c r="D390" s="7"/>
      <c r="J390" s="7"/>
      <c r="P390" s="7"/>
    </row>
    <row r="391">
      <c r="D391" s="7"/>
      <c r="J391" s="7"/>
      <c r="P391" s="7"/>
    </row>
    <row r="392">
      <c r="D392" s="7"/>
      <c r="J392" s="7"/>
      <c r="P392" s="7"/>
    </row>
    <row r="393">
      <c r="D393" s="7"/>
      <c r="J393" s="7"/>
      <c r="P393" s="7"/>
    </row>
    <row r="394">
      <c r="D394" s="7"/>
      <c r="J394" s="7"/>
      <c r="P394" s="7"/>
    </row>
    <row r="395">
      <c r="D395" s="7"/>
      <c r="J395" s="7"/>
      <c r="P395" s="7"/>
    </row>
    <row r="396">
      <c r="D396" s="7"/>
      <c r="J396" s="7"/>
      <c r="P396" s="7"/>
    </row>
    <row r="397">
      <c r="D397" s="7"/>
      <c r="J397" s="7"/>
      <c r="P397" s="7"/>
    </row>
    <row r="398">
      <c r="D398" s="7"/>
      <c r="J398" s="7"/>
      <c r="P398" s="7"/>
    </row>
    <row r="399">
      <c r="D399" s="7"/>
      <c r="J399" s="7"/>
      <c r="P399" s="7"/>
    </row>
    <row r="400">
      <c r="D400" s="7"/>
      <c r="J400" s="7"/>
      <c r="P400" s="7"/>
    </row>
    <row r="401">
      <c r="D401" s="7"/>
      <c r="J401" s="7"/>
      <c r="P401" s="7"/>
    </row>
    <row r="402">
      <c r="D402" s="7"/>
      <c r="J402" s="7"/>
      <c r="P402" s="7"/>
    </row>
    <row r="403">
      <c r="D403" s="7"/>
      <c r="J403" s="7"/>
      <c r="P403" s="7"/>
    </row>
    <row r="404">
      <c r="D404" s="7"/>
      <c r="J404" s="7"/>
      <c r="P404" s="7"/>
    </row>
    <row r="405">
      <c r="D405" s="7"/>
      <c r="J405" s="7"/>
      <c r="P405" s="7"/>
    </row>
    <row r="406">
      <c r="D406" s="7"/>
      <c r="J406" s="7"/>
      <c r="P406" s="7"/>
    </row>
    <row r="407">
      <c r="D407" s="7"/>
      <c r="J407" s="7"/>
      <c r="P407" s="7"/>
    </row>
    <row r="408">
      <c r="D408" s="7"/>
      <c r="J408" s="7"/>
      <c r="P408" s="7"/>
    </row>
    <row r="409">
      <c r="D409" s="7"/>
      <c r="J409" s="7"/>
      <c r="P409" s="7"/>
    </row>
    <row r="410">
      <c r="D410" s="7"/>
      <c r="J410" s="7"/>
      <c r="P410" s="7"/>
    </row>
    <row r="411">
      <c r="D411" s="7"/>
      <c r="J411" s="7"/>
      <c r="P411" s="7"/>
    </row>
    <row r="412">
      <c r="D412" s="7"/>
      <c r="J412" s="7"/>
      <c r="P412" s="7"/>
    </row>
    <row r="413">
      <c r="D413" s="7"/>
      <c r="J413" s="7"/>
      <c r="P413" s="7"/>
    </row>
    <row r="414">
      <c r="D414" s="7"/>
      <c r="J414" s="7"/>
      <c r="P414" s="7"/>
    </row>
    <row r="415">
      <c r="D415" s="7"/>
      <c r="J415" s="7"/>
      <c r="P415" s="7"/>
    </row>
    <row r="416">
      <c r="D416" s="7"/>
      <c r="J416" s="7"/>
      <c r="P416" s="7"/>
    </row>
    <row r="417">
      <c r="D417" s="7"/>
      <c r="J417" s="7"/>
      <c r="P417" s="7"/>
    </row>
    <row r="418">
      <c r="D418" s="7"/>
      <c r="J418" s="7"/>
      <c r="P418" s="7"/>
    </row>
    <row r="419">
      <c r="D419" s="7"/>
      <c r="J419" s="7"/>
      <c r="P419" s="7"/>
    </row>
    <row r="420">
      <c r="D420" s="7"/>
      <c r="J420" s="7"/>
      <c r="P420" s="7"/>
    </row>
    <row r="421">
      <c r="D421" s="7"/>
      <c r="J421" s="7"/>
      <c r="P421" s="7"/>
    </row>
    <row r="422">
      <c r="D422" s="7"/>
      <c r="J422" s="7"/>
      <c r="P422" s="7"/>
    </row>
    <row r="423">
      <c r="D423" s="7"/>
      <c r="J423" s="7"/>
      <c r="P423" s="7"/>
    </row>
    <row r="424">
      <c r="D424" s="7"/>
      <c r="J424" s="7"/>
      <c r="P424" s="7"/>
    </row>
    <row r="425">
      <c r="D425" s="7"/>
      <c r="J425" s="7"/>
      <c r="P425" s="7"/>
    </row>
    <row r="426">
      <c r="D426" s="7"/>
      <c r="J426" s="7"/>
      <c r="P426" s="7"/>
    </row>
    <row r="427">
      <c r="D427" s="7"/>
      <c r="J427" s="7"/>
      <c r="P427" s="7"/>
    </row>
    <row r="428">
      <c r="D428" s="7"/>
      <c r="J428" s="7"/>
      <c r="P428" s="7"/>
    </row>
    <row r="429">
      <c r="D429" s="7"/>
      <c r="J429" s="7"/>
      <c r="P429" s="7"/>
    </row>
    <row r="430">
      <c r="D430" s="7"/>
      <c r="J430" s="7"/>
      <c r="P430" s="7"/>
    </row>
    <row r="431">
      <c r="D431" s="7"/>
      <c r="J431" s="7"/>
      <c r="P431" s="7"/>
    </row>
    <row r="432">
      <c r="D432" s="7"/>
      <c r="J432" s="7"/>
      <c r="P432" s="7"/>
    </row>
    <row r="433">
      <c r="D433" s="7"/>
      <c r="J433" s="7"/>
      <c r="P433" s="7"/>
    </row>
    <row r="434">
      <c r="D434" s="7"/>
      <c r="J434" s="7"/>
      <c r="P434" s="7"/>
    </row>
    <row r="435">
      <c r="D435" s="7"/>
      <c r="J435" s="7"/>
      <c r="P435" s="7"/>
    </row>
    <row r="436">
      <c r="D436" s="7"/>
      <c r="J436" s="7"/>
      <c r="P436" s="7"/>
    </row>
    <row r="437">
      <c r="D437" s="7"/>
      <c r="J437" s="7"/>
      <c r="P437" s="7"/>
    </row>
    <row r="438">
      <c r="D438" s="7"/>
      <c r="J438" s="7"/>
      <c r="P438" s="7"/>
    </row>
    <row r="439">
      <c r="D439" s="7"/>
      <c r="J439" s="7"/>
      <c r="P439" s="7"/>
    </row>
    <row r="440">
      <c r="D440" s="7"/>
      <c r="J440" s="7"/>
      <c r="P440" s="7"/>
    </row>
    <row r="441">
      <c r="D441" s="7"/>
      <c r="J441" s="7"/>
      <c r="P441" s="7"/>
    </row>
    <row r="442">
      <c r="D442" s="7"/>
      <c r="J442" s="7"/>
      <c r="P442" s="7"/>
    </row>
    <row r="443">
      <c r="D443" s="7"/>
      <c r="J443" s="7"/>
      <c r="P443" s="7"/>
    </row>
    <row r="444">
      <c r="D444" s="7"/>
      <c r="J444" s="7"/>
      <c r="P444" s="7"/>
    </row>
    <row r="445">
      <c r="D445" s="7"/>
      <c r="J445" s="7"/>
      <c r="P445" s="7"/>
    </row>
    <row r="446">
      <c r="D446" s="7"/>
      <c r="J446" s="7"/>
      <c r="P446" s="7"/>
    </row>
    <row r="447">
      <c r="D447" s="7"/>
      <c r="J447" s="7"/>
      <c r="P447" s="7"/>
    </row>
    <row r="448">
      <c r="D448" s="7"/>
      <c r="J448" s="7"/>
      <c r="P448" s="7"/>
    </row>
    <row r="449">
      <c r="D449" s="7"/>
      <c r="J449" s="7"/>
      <c r="P449" s="7"/>
    </row>
    <row r="450">
      <c r="D450" s="7"/>
      <c r="J450" s="7"/>
      <c r="P450" s="7"/>
    </row>
    <row r="451">
      <c r="D451" s="7"/>
      <c r="J451" s="7"/>
      <c r="P451" s="7"/>
    </row>
    <row r="452">
      <c r="D452" s="7"/>
      <c r="J452" s="7"/>
      <c r="P452" s="7"/>
    </row>
    <row r="453">
      <c r="D453" s="7"/>
      <c r="J453" s="7"/>
      <c r="P453" s="7"/>
    </row>
    <row r="454">
      <c r="D454" s="7"/>
      <c r="J454" s="7"/>
      <c r="P454" s="7"/>
    </row>
    <row r="455">
      <c r="D455" s="7"/>
      <c r="J455" s="7"/>
      <c r="P455" s="7"/>
    </row>
    <row r="456">
      <c r="D456" s="7"/>
      <c r="J456" s="7"/>
      <c r="P456" s="7"/>
    </row>
    <row r="457">
      <c r="D457" s="7"/>
      <c r="J457" s="7"/>
      <c r="P457" s="7"/>
    </row>
    <row r="458">
      <c r="D458" s="7"/>
      <c r="J458" s="7"/>
      <c r="P458" s="7"/>
    </row>
    <row r="459">
      <c r="D459" s="7"/>
      <c r="J459" s="7"/>
      <c r="P459" s="7"/>
    </row>
    <row r="460">
      <c r="D460" s="7"/>
      <c r="J460" s="7"/>
      <c r="P460" s="7"/>
    </row>
    <row r="461">
      <c r="D461" s="7"/>
      <c r="J461" s="7"/>
      <c r="P461" s="7"/>
    </row>
    <row r="462">
      <c r="D462" s="7"/>
      <c r="J462" s="7"/>
      <c r="P462" s="7"/>
    </row>
    <row r="463">
      <c r="D463" s="7"/>
      <c r="J463" s="7"/>
      <c r="P463" s="7"/>
    </row>
    <row r="464">
      <c r="D464" s="7"/>
      <c r="J464" s="7"/>
      <c r="P464" s="7"/>
    </row>
    <row r="465">
      <c r="D465" s="7"/>
      <c r="J465" s="7"/>
      <c r="P465" s="7"/>
    </row>
    <row r="466">
      <c r="D466" s="7"/>
      <c r="J466" s="7"/>
      <c r="P466" s="7"/>
    </row>
    <row r="467">
      <c r="D467" s="7"/>
      <c r="J467" s="7"/>
      <c r="P467" s="7"/>
    </row>
    <row r="468">
      <c r="D468" s="7"/>
      <c r="J468" s="7"/>
      <c r="P468" s="7"/>
    </row>
    <row r="469">
      <c r="D469" s="7"/>
      <c r="J469" s="7"/>
      <c r="P469" s="7"/>
    </row>
    <row r="470">
      <c r="D470" s="7"/>
      <c r="J470" s="7"/>
      <c r="P470" s="7"/>
    </row>
    <row r="471">
      <c r="D471" s="7"/>
      <c r="J471" s="7"/>
      <c r="P471" s="7"/>
    </row>
    <row r="472">
      <c r="D472" s="7"/>
      <c r="J472" s="7"/>
      <c r="P472" s="7"/>
    </row>
    <row r="473">
      <c r="D473" s="7"/>
      <c r="J473" s="7"/>
      <c r="P473" s="7"/>
    </row>
    <row r="474">
      <c r="D474" s="7"/>
      <c r="J474" s="7"/>
      <c r="P474" s="7"/>
    </row>
    <row r="475">
      <c r="D475" s="7"/>
      <c r="J475" s="7"/>
      <c r="P475" s="7"/>
    </row>
    <row r="476">
      <c r="D476" s="7"/>
      <c r="J476" s="7"/>
      <c r="P476" s="7"/>
    </row>
    <row r="477">
      <c r="D477" s="7"/>
      <c r="J477" s="7"/>
      <c r="P477" s="7"/>
    </row>
    <row r="478">
      <c r="D478" s="7"/>
      <c r="J478" s="7"/>
      <c r="P478" s="7"/>
    </row>
    <row r="479">
      <c r="D479" s="7"/>
      <c r="J479" s="7"/>
      <c r="P479" s="7"/>
    </row>
    <row r="480">
      <c r="D480" s="7"/>
      <c r="J480" s="7"/>
      <c r="P480" s="7"/>
    </row>
    <row r="481">
      <c r="D481" s="7"/>
      <c r="J481" s="7"/>
      <c r="P481" s="7"/>
    </row>
    <row r="482">
      <c r="D482" s="7"/>
      <c r="J482" s="7"/>
      <c r="P482" s="7"/>
    </row>
    <row r="483">
      <c r="D483" s="7"/>
      <c r="J483" s="7"/>
      <c r="P483" s="7"/>
    </row>
    <row r="484">
      <c r="D484" s="7"/>
      <c r="J484" s="7"/>
      <c r="P484" s="7"/>
    </row>
    <row r="485">
      <c r="D485" s="7"/>
      <c r="J485" s="7"/>
      <c r="P485" s="7"/>
    </row>
    <row r="486">
      <c r="D486" s="7"/>
      <c r="J486" s="7"/>
      <c r="P486" s="7"/>
    </row>
    <row r="487">
      <c r="D487" s="7"/>
      <c r="J487" s="7"/>
      <c r="P487" s="7"/>
    </row>
    <row r="488">
      <c r="D488" s="7"/>
      <c r="J488" s="7"/>
      <c r="P488" s="7"/>
    </row>
    <row r="489">
      <c r="D489" s="7"/>
      <c r="J489" s="7"/>
      <c r="P489" s="7"/>
    </row>
    <row r="490">
      <c r="D490" s="7"/>
      <c r="J490" s="7"/>
      <c r="P490" s="7"/>
    </row>
    <row r="491">
      <c r="D491" s="7"/>
      <c r="J491" s="7"/>
      <c r="P491" s="7"/>
    </row>
    <row r="492">
      <c r="D492" s="7"/>
      <c r="J492" s="7"/>
      <c r="P492" s="7"/>
    </row>
    <row r="493">
      <c r="D493" s="7"/>
      <c r="J493" s="7"/>
      <c r="P493" s="7"/>
    </row>
    <row r="494">
      <c r="D494" s="7"/>
      <c r="J494" s="7"/>
      <c r="P494" s="7"/>
    </row>
    <row r="495">
      <c r="D495" s="7"/>
      <c r="J495" s="7"/>
      <c r="P495" s="7"/>
    </row>
    <row r="496">
      <c r="D496" s="7"/>
      <c r="J496" s="7"/>
      <c r="P496" s="7"/>
    </row>
    <row r="497">
      <c r="D497" s="7"/>
      <c r="J497" s="7"/>
      <c r="P497" s="7"/>
    </row>
    <row r="498">
      <c r="D498" s="7"/>
      <c r="J498" s="7"/>
      <c r="P498" s="7"/>
    </row>
    <row r="499">
      <c r="D499" s="7"/>
      <c r="J499" s="7"/>
      <c r="P499" s="7"/>
    </row>
    <row r="500">
      <c r="D500" s="7"/>
      <c r="J500" s="7"/>
      <c r="P500" s="7"/>
    </row>
    <row r="501">
      <c r="D501" s="7"/>
      <c r="J501" s="7"/>
      <c r="P501" s="7"/>
    </row>
    <row r="502">
      <c r="D502" s="7"/>
      <c r="J502" s="7"/>
      <c r="P502" s="7"/>
    </row>
    <row r="503">
      <c r="D503" s="7"/>
      <c r="J503" s="7"/>
      <c r="P503" s="7"/>
    </row>
    <row r="504">
      <c r="D504" s="7"/>
      <c r="J504" s="7"/>
      <c r="P504" s="7"/>
    </row>
    <row r="505">
      <c r="D505" s="7"/>
      <c r="J505" s="7"/>
      <c r="P505" s="7"/>
    </row>
    <row r="506">
      <c r="D506" s="7"/>
      <c r="J506" s="7"/>
      <c r="P506" s="7"/>
    </row>
    <row r="507">
      <c r="D507" s="7"/>
      <c r="J507" s="7"/>
      <c r="P507" s="7"/>
    </row>
    <row r="508">
      <c r="D508" s="7"/>
      <c r="J508" s="7"/>
      <c r="P508" s="7"/>
    </row>
    <row r="509">
      <c r="D509" s="7"/>
      <c r="J509" s="7"/>
      <c r="P509" s="7"/>
    </row>
    <row r="510">
      <c r="D510" s="7"/>
      <c r="J510" s="7"/>
      <c r="P510" s="7"/>
    </row>
    <row r="511">
      <c r="D511" s="7"/>
      <c r="J511" s="7"/>
      <c r="P511" s="7"/>
    </row>
    <row r="512">
      <c r="D512" s="7"/>
      <c r="J512" s="7"/>
      <c r="P512" s="7"/>
    </row>
    <row r="513">
      <c r="D513" s="7"/>
      <c r="J513" s="7"/>
      <c r="P513" s="7"/>
    </row>
    <row r="514">
      <c r="D514" s="7"/>
      <c r="J514" s="7"/>
      <c r="P514" s="7"/>
    </row>
    <row r="515">
      <c r="D515" s="7"/>
      <c r="J515" s="7"/>
      <c r="P515" s="7"/>
    </row>
    <row r="516">
      <c r="D516" s="7"/>
      <c r="J516" s="7"/>
      <c r="P516" s="7"/>
    </row>
    <row r="517">
      <c r="D517" s="7"/>
      <c r="J517" s="7"/>
      <c r="P517" s="7"/>
    </row>
    <row r="518">
      <c r="D518" s="7"/>
      <c r="J518" s="7"/>
      <c r="P518" s="7"/>
    </row>
    <row r="519">
      <c r="D519" s="7"/>
      <c r="J519" s="7"/>
      <c r="P519" s="7"/>
    </row>
    <row r="520">
      <c r="D520" s="7"/>
      <c r="J520" s="7"/>
      <c r="P520" s="7"/>
    </row>
    <row r="521">
      <c r="D521" s="7"/>
      <c r="J521" s="7"/>
      <c r="P521" s="7"/>
    </row>
    <row r="522">
      <c r="D522" s="7"/>
      <c r="J522" s="7"/>
      <c r="P522" s="7"/>
    </row>
    <row r="523">
      <c r="D523" s="7"/>
      <c r="J523" s="7"/>
      <c r="P523" s="7"/>
    </row>
    <row r="524">
      <c r="D524" s="7"/>
      <c r="J524" s="7"/>
      <c r="P524" s="7"/>
    </row>
    <row r="525">
      <c r="D525" s="7"/>
      <c r="J525" s="7"/>
      <c r="P525" s="7"/>
    </row>
    <row r="526">
      <c r="D526" s="7"/>
      <c r="J526" s="7"/>
      <c r="P526" s="7"/>
    </row>
    <row r="527">
      <c r="D527" s="7"/>
      <c r="J527" s="7"/>
      <c r="P527" s="7"/>
    </row>
    <row r="528">
      <c r="D528" s="7"/>
      <c r="J528" s="7"/>
      <c r="P528" s="7"/>
    </row>
    <row r="529">
      <c r="D529" s="7"/>
      <c r="J529" s="7"/>
      <c r="P529" s="7"/>
    </row>
    <row r="530">
      <c r="D530" s="7"/>
      <c r="J530" s="7"/>
      <c r="P530" s="7"/>
    </row>
    <row r="531">
      <c r="D531" s="7"/>
      <c r="J531" s="7"/>
      <c r="P531" s="7"/>
    </row>
    <row r="532">
      <c r="D532" s="7"/>
      <c r="J532" s="7"/>
      <c r="P532" s="7"/>
    </row>
    <row r="533">
      <c r="D533" s="7"/>
      <c r="J533" s="7"/>
      <c r="P533" s="7"/>
    </row>
    <row r="534">
      <c r="D534" s="7"/>
      <c r="J534" s="7"/>
      <c r="P534" s="7"/>
    </row>
    <row r="535">
      <c r="D535" s="7"/>
      <c r="J535" s="7"/>
      <c r="P535" s="7"/>
    </row>
    <row r="536">
      <c r="D536" s="7"/>
      <c r="J536" s="7"/>
      <c r="P536" s="7"/>
    </row>
    <row r="537">
      <c r="D537" s="7"/>
      <c r="J537" s="7"/>
      <c r="P537" s="7"/>
    </row>
    <row r="538">
      <c r="D538" s="7"/>
      <c r="J538" s="7"/>
      <c r="P538" s="7"/>
    </row>
    <row r="539">
      <c r="D539" s="7"/>
      <c r="J539" s="7"/>
      <c r="P539" s="7"/>
    </row>
    <row r="540">
      <c r="D540" s="7"/>
      <c r="J540" s="7"/>
      <c r="P540" s="7"/>
    </row>
    <row r="541">
      <c r="D541" s="7"/>
      <c r="J541" s="7"/>
      <c r="P541" s="7"/>
    </row>
    <row r="542">
      <c r="D542" s="7"/>
      <c r="J542" s="7"/>
      <c r="P542" s="7"/>
    </row>
    <row r="543">
      <c r="D543" s="7"/>
      <c r="J543" s="7"/>
      <c r="P543" s="7"/>
    </row>
    <row r="544">
      <c r="D544" s="7"/>
      <c r="J544" s="7"/>
      <c r="P544" s="7"/>
    </row>
    <row r="545">
      <c r="D545" s="7"/>
      <c r="J545" s="7"/>
      <c r="P545" s="7"/>
    </row>
    <row r="546">
      <c r="D546" s="7"/>
      <c r="J546" s="7"/>
      <c r="P546" s="7"/>
    </row>
    <row r="547">
      <c r="D547" s="7"/>
      <c r="J547" s="7"/>
      <c r="P547" s="7"/>
    </row>
    <row r="548">
      <c r="D548" s="7"/>
      <c r="J548" s="7"/>
      <c r="P548" s="7"/>
    </row>
    <row r="549">
      <c r="D549" s="7"/>
      <c r="J549" s="7"/>
      <c r="P549" s="7"/>
    </row>
    <row r="550">
      <c r="D550" s="7"/>
      <c r="J550" s="7"/>
      <c r="P550" s="7"/>
    </row>
    <row r="551">
      <c r="D551" s="7"/>
      <c r="J551" s="7"/>
      <c r="P551" s="7"/>
    </row>
    <row r="552">
      <c r="D552" s="7"/>
      <c r="J552" s="7"/>
      <c r="P552" s="7"/>
    </row>
    <row r="553">
      <c r="D553" s="7"/>
      <c r="J553" s="7"/>
      <c r="P553" s="7"/>
    </row>
    <row r="554">
      <c r="D554" s="7"/>
      <c r="J554" s="7"/>
      <c r="P554" s="7"/>
    </row>
    <row r="555">
      <c r="D555" s="7"/>
      <c r="J555" s="7"/>
      <c r="P555" s="7"/>
    </row>
    <row r="556">
      <c r="D556" s="7"/>
      <c r="J556" s="7"/>
      <c r="P556" s="7"/>
    </row>
    <row r="557">
      <c r="D557" s="7"/>
      <c r="J557" s="7"/>
      <c r="P557" s="7"/>
    </row>
    <row r="558">
      <c r="D558" s="7"/>
      <c r="J558" s="7"/>
      <c r="P558" s="7"/>
    </row>
    <row r="559">
      <c r="D559" s="7"/>
      <c r="J559" s="7"/>
      <c r="P559" s="7"/>
    </row>
    <row r="560">
      <c r="D560" s="7"/>
      <c r="J560" s="7"/>
      <c r="P560" s="7"/>
    </row>
    <row r="561">
      <c r="D561" s="7"/>
      <c r="J561" s="7"/>
      <c r="P561" s="7"/>
    </row>
    <row r="562">
      <c r="D562" s="7"/>
      <c r="J562" s="7"/>
      <c r="P562" s="7"/>
    </row>
    <row r="563">
      <c r="D563" s="7"/>
      <c r="J563" s="7"/>
      <c r="P563" s="7"/>
    </row>
    <row r="564">
      <c r="D564" s="7"/>
      <c r="J564" s="7"/>
      <c r="P564" s="7"/>
    </row>
    <row r="565">
      <c r="D565" s="7"/>
      <c r="J565" s="7"/>
      <c r="P565" s="7"/>
    </row>
    <row r="566">
      <c r="D566" s="7"/>
      <c r="J566" s="7"/>
      <c r="P566" s="7"/>
    </row>
    <row r="567">
      <c r="D567" s="7"/>
      <c r="J567" s="7"/>
      <c r="P567" s="7"/>
    </row>
    <row r="568">
      <c r="D568" s="7"/>
      <c r="J568" s="7"/>
      <c r="P568" s="7"/>
    </row>
    <row r="569">
      <c r="D569" s="7"/>
      <c r="J569" s="7"/>
      <c r="P569" s="7"/>
    </row>
    <row r="570">
      <c r="D570" s="7"/>
      <c r="J570" s="7"/>
      <c r="P570" s="7"/>
    </row>
    <row r="571">
      <c r="D571" s="7"/>
      <c r="J571" s="7"/>
      <c r="P571" s="7"/>
    </row>
    <row r="572">
      <c r="D572" s="7"/>
      <c r="J572" s="7"/>
      <c r="P572" s="7"/>
    </row>
    <row r="573">
      <c r="D573" s="7"/>
      <c r="J573" s="7"/>
      <c r="P573" s="7"/>
    </row>
    <row r="574">
      <c r="D574" s="7"/>
      <c r="J574" s="7"/>
      <c r="P574" s="7"/>
    </row>
    <row r="575">
      <c r="D575" s="7"/>
      <c r="J575" s="7"/>
      <c r="P575" s="7"/>
    </row>
    <row r="576">
      <c r="D576" s="7"/>
      <c r="J576" s="7"/>
      <c r="P576" s="7"/>
    </row>
    <row r="577">
      <c r="D577" s="7"/>
      <c r="J577" s="7"/>
      <c r="P577" s="7"/>
    </row>
    <row r="578">
      <c r="D578" s="7"/>
      <c r="J578" s="7"/>
      <c r="P578" s="7"/>
    </row>
    <row r="579">
      <c r="D579" s="7"/>
      <c r="J579" s="7"/>
      <c r="P579" s="7"/>
    </row>
    <row r="580">
      <c r="D580" s="7"/>
      <c r="J580" s="7"/>
      <c r="P580" s="7"/>
    </row>
    <row r="581">
      <c r="D581" s="7"/>
      <c r="J581" s="7"/>
      <c r="P581" s="7"/>
    </row>
    <row r="582">
      <c r="D582" s="7"/>
      <c r="J582" s="7"/>
      <c r="P582" s="7"/>
    </row>
    <row r="583">
      <c r="D583" s="7"/>
      <c r="J583" s="7"/>
      <c r="P583" s="7"/>
    </row>
    <row r="584">
      <c r="D584" s="7"/>
      <c r="J584" s="7"/>
      <c r="P584" s="7"/>
    </row>
    <row r="585">
      <c r="D585" s="7"/>
      <c r="J585" s="7"/>
      <c r="P585" s="7"/>
    </row>
    <row r="586">
      <c r="D586" s="7"/>
      <c r="J586" s="7"/>
      <c r="P586" s="7"/>
    </row>
    <row r="587">
      <c r="D587" s="7"/>
      <c r="J587" s="7"/>
      <c r="P587" s="7"/>
    </row>
    <row r="588">
      <c r="D588" s="7"/>
      <c r="J588" s="7"/>
      <c r="P588" s="7"/>
    </row>
    <row r="589">
      <c r="D589" s="7"/>
      <c r="J589" s="7"/>
      <c r="P589" s="7"/>
    </row>
    <row r="590">
      <c r="D590" s="7"/>
      <c r="J590" s="7"/>
      <c r="P590" s="7"/>
    </row>
    <row r="591">
      <c r="D591" s="7"/>
      <c r="J591" s="7"/>
      <c r="P591" s="7"/>
    </row>
    <row r="592">
      <c r="D592" s="7"/>
      <c r="J592" s="7"/>
      <c r="P592" s="7"/>
    </row>
    <row r="593">
      <c r="D593" s="7"/>
      <c r="J593" s="7"/>
      <c r="P593" s="7"/>
    </row>
    <row r="594">
      <c r="D594" s="7"/>
      <c r="J594" s="7"/>
      <c r="P594" s="7"/>
    </row>
    <row r="595">
      <c r="D595" s="7"/>
      <c r="J595" s="7"/>
      <c r="P595" s="7"/>
    </row>
    <row r="596">
      <c r="D596" s="7"/>
      <c r="J596" s="7"/>
      <c r="P596" s="7"/>
    </row>
    <row r="597">
      <c r="D597" s="7"/>
      <c r="J597" s="7"/>
      <c r="P597" s="7"/>
    </row>
    <row r="598">
      <c r="D598" s="7"/>
      <c r="J598" s="7"/>
      <c r="P598" s="7"/>
    </row>
    <row r="599">
      <c r="D599" s="7"/>
      <c r="J599" s="7"/>
      <c r="P599" s="7"/>
    </row>
    <row r="600">
      <c r="D600" s="7"/>
      <c r="J600" s="7"/>
      <c r="P600" s="7"/>
    </row>
    <row r="601">
      <c r="D601" s="7"/>
      <c r="J601" s="7"/>
      <c r="P601" s="7"/>
    </row>
    <row r="602">
      <c r="D602" s="7"/>
      <c r="J602" s="7"/>
      <c r="P602" s="7"/>
    </row>
    <row r="603">
      <c r="D603" s="7"/>
      <c r="J603" s="7"/>
      <c r="P603" s="7"/>
    </row>
    <row r="604">
      <c r="D604" s="7"/>
      <c r="J604" s="7"/>
      <c r="P604" s="7"/>
    </row>
    <row r="605">
      <c r="D605" s="7"/>
      <c r="J605" s="7"/>
      <c r="P605" s="7"/>
    </row>
    <row r="606">
      <c r="D606" s="7"/>
      <c r="J606" s="7"/>
      <c r="P606" s="7"/>
    </row>
    <row r="607">
      <c r="D607" s="7"/>
      <c r="J607" s="7"/>
      <c r="P607" s="7"/>
    </row>
    <row r="608">
      <c r="D608" s="7"/>
      <c r="J608" s="7"/>
      <c r="P608" s="7"/>
    </row>
    <row r="609">
      <c r="D609" s="7"/>
      <c r="J609" s="7"/>
      <c r="P609" s="7"/>
    </row>
    <row r="610">
      <c r="D610" s="7"/>
      <c r="J610" s="7"/>
      <c r="P610" s="7"/>
    </row>
    <row r="611">
      <c r="D611" s="7"/>
      <c r="J611" s="7"/>
      <c r="P611" s="7"/>
    </row>
    <row r="612">
      <c r="D612" s="7"/>
      <c r="J612" s="7"/>
      <c r="P612" s="7"/>
    </row>
    <row r="613">
      <c r="D613" s="7"/>
      <c r="J613" s="7"/>
      <c r="P613" s="7"/>
    </row>
    <row r="614">
      <c r="D614" s="7"/>
      <c r="J614" s="7"/>
      <c r="P614" s="7"/>
    </row>
    <row r="615">
      <c r="D615" s="7"/>
      <c r="J615" s="7"/>
      <c r="P615" s="7"/>
    </row>
    <row r="616">
      <c r="D616" s="7"/>
      <c r="J616" s="7"/>
      <c r="P616" s="7"/>
    </row>
    <row r="617">
      <c r="D617" s="7"/>
      <c r="J617" s="7"/>
      <c r="P617" s="7"/>
    </row>
    <row r="618">
      <c r="D618" s="7"/>
      <c r="J618" s="7"/>
      <c r="P618" s="7"/>
    </row>
    <row r="619">
      <c r="D619" s="7"/>
      <c r="J619" s="7"/>
      <c r="P619" s="7"/>
    </row>
    <row r="620">
      <c r="D620" s="7"/>
      <c r="J620" s="7"/>
      <c r="P620" s="7"/>
    </row>
    <row r="621">
      <c r="D621" s="7"/>
      <c r="J621" s="7"/>
      <c r="P621" s="7"/>
    </row>
    <row r="622">
      <c r="D622" s="7"/>
      <c r="J622" s="7"/>
      <c r="P622" s="7"/>
    </row>
    <row r="623">
      <c r="D623" s="7"/>
      <c r="J623" s="7"/>
      <c r="P623" s="7"/>
    </row>
    <row r="624">
      <c r="D624" s="7"/>
      <c r="J624" s="7"/>
      <c r="P624" s="7"/>
    </row>
    <row r="625">
      <c r="D625" s="7"/>
      <c r="J625" s="7"/>
      <c r="P625" s="7"/>
    </row>
    <row r="626">
      <c r="D626" s="7"/>
      <c r="J626" s="7"/>
      <c r="P626" s="7"/>
    </row>
    <row r="627">
      <c r="D627" s="7"/>
      <c r="J627" s="7"/>
      <c r="P627" s="7"/>
    </row>
    <row r="628">
      <c r="D628" s="7"/>
      <c r="J628" s="7"/>
      <c r="P628" s="7"/>
    </row>
    <row r="629">
      <c r="D629" s="7"/>
      <c r="J629" s="7"/>
      <c r="P629" s="7"/>
    </row>
    <row r="630">
      <c r="D630" s="7"/>
      <c r="J630" s="7"/>
      <c r="P630" s="7"/>
    </row>
    <row r="631">
      <c r="D631" s="7"/>
      <c r="J631" s="7"/>
      <c r="P631" s="7"/>
    </row>
    <row r="632">
      <c r="D632" s="7"/>
      <c r="J632" s="7"/>
      <c r="P632" s="7"/>
    </row>
    <row r="633">
      <c r="D633" s="7"/>
      <c r="J633" s="7"/>
      <c r="P633" s="7"/>
    </row>
    <row r="634">
      <c r="D634" s="7"/>
      <c r="J634" s="7"/>
      <c r="P634" s="7"/>
    </row>
    <row r="635">
      <c r="D635" s="7"/>
      <c r="J635" s="7"/>
      <c r="P635" s="7"/>
    </row>
    <row r="636">
      <c r="D636" s="7"/>
      <c r="J636" s="7"/>
      <c r="P636" s="7"/>
    </row>
    <row r="637">
      <c r="D637" s="7"/>
      <c r="J637" s="7"/>
      <c r="P637" s="7"/>
    </row>
    <row r="638">
      <c r="D638" s="7"/>
      <c r="J638" s="7"/>
      <c r="P638" s="7"/>
    </row>
    <row r="639">
      <c r="D639" s="7"/>
      <c r="J639" s="7"/>
      <c r="P639" s="7"/>
    </row>
    <row r="640">
      <c r="D640" s="7"/>
      <c r="J640" s="7"/>
      <c r="P640" s="7"/>
    </row>
    <row r="641">
      <c r="D641" s="7"/>
      <c r="J641" s="7"/>
      <c r="P641" s="7"/>
    </row>
    <row r="642">
      <c r="D642" s="7"/>
      <c r="J642" s="7"/>
      <c r="P642" s="7"/>
    </row>
    <row r="643">
      <c r="D643" s="7"/>
      <c r="J643" s="7"/>
      <c r="P643" s="7"/>
    </row>
    <row r="644">
      <c r="D644" s="7"/>
      <c r="J644" s="7"/>
      <c r="P644" s="7"/>
    </row>
    <row r="645">
      <c r="D645" s="7"/>
      <c r="J645" s="7"/>
      <c r="P645" s="7"/>
    </row>
    <row r="646">
      <c r="D646" s="7"/>
      <c r="J646" s="7"/>
      <c r="P646" s="7"/>
    </row>
    <row r="647">
      <c r="D647" s="7"/>
      <c r="J647" s="7"/>
      <c r="P647" s="7"/>
    </row>
    <row r="648">
      <c r="D648" s="7"/>
      <c r="J648" s="7"/>
      <c r="P648" s="7"/>
    </row>
    <row r="649">
      <c r="D649" s="7"/>
      <c r="J649" s="7"/>
      <c r="P649" s="7"/>
    </row>
    <row r="650">
      <c r="D650" s="7"/>
      <c r="J650" s="7"/>
      <c r="P650" s="7"/>
    </row>
    <row r="651">
      <c r="D651" s="7"/>
      <c r="J651" s="7"/>
      <c r="P651" s="7"/>
    </row>
    <row r="652">
      <c r="D652" s="7"/>
      <c r="J652" s="7"/>
      <c r="P652" s="7"/>
    </row>
    <row r="653">
      <c r="D653" s="7"/>
      <c r="J653" s="7"/>
      <c r="P653" s="7"/>
    </row>
    <row r="654">
      <c r="D654" s="7"/>
      <c r="J654" s="7"/>
      <c r="P654" s="7"/>
    </row>
    <row r="655">
      <c r="D655" s="7"/>
      <c r="J655" s="7"/>
      <c r="P655" s="7"/>
    </row>
    <row r="656">
      <c r="D656" s="7"/>
      <c r="J656" s="7"/>
      <c r="P656" s="7"/>
    </row>
    <row r="657">
      <c r="D657" s="7"/>
      <c r="J657" s="7"/>
      <c r="P657" s="7"/>
    </row>
    <row r="658">
      <c r="D658" s="7"/>
      <c r="J658" s="7"/>
      <c r="P658" s="7"/>
    </row>
    <row r="659">
      <c r="D659" s="7"/>
      <c r="J659" s="7"/>
      <c r="P659" s="7"/>
    </row>
    <row r="660">
      <c r="D660" s="7"/>
      <c r="J660" s="7"/>
      <c r="P660" s="7"/>
    </row>
    <row r="661">
      <c r="D661" s="7"/>
      <c r="J661" s="7"/>
      <c r="P661" s="7"/>
    </row>
    <row r="662">
      <c r="D662" s="7"/>
      <c r="J662" s="7"/>
      <c r="P662" s="7"/>
    </row>
    <row r="663">
      <c r="D663" s="7"/>
      <c r="J663" s="7"/>
      <c r="P663" s="7"/>
    </row>
    <row r="664">
      <c r="D664" s="7"/>
      <c r="J664" s="7"/>
      <c r="P664" s="7"/>
    </row>
    <row r="665">
      <c r="D665" s="7"/>
      <c r="J665" s="7"/>
      <c r="P665" s="7"/>
    </row>
    <row r="666">
      <c r="D666" s="7"/>
      <c r="J666" s="7"/>
      <c r="P666" s="7"/>
    </row>
    <row r="667">
      <c r="D667" s="7"/>
      <c r="J667" s="7"/>
      <c r="P667" s="7"/>
    </row>
    <row r="668">
      <c r="D668" s="7"/>
      <c r="J668" s="7"/>
      <c r="P668" s="7"/>
    </row>
    <row r="669">
      <c r="D669" s="7"/>
      <c r="J669" s="7"/>
      <c r="P669" s="7"/>
    </row>
    <row r="670">
      <c r="D670" s="7"/>
      <c r="J670" s="7"/>
      <c r="P670" s="7"/>
    </row>
    <row r="671">
      <c r="D671" s="7"/>
      <c r="J671" s="7"/>
      <c r="P671" s="7"/>
    </row>
    <row r="672">
      <c r="D672" s="7"/>
      <c r="J672" s="7"/>
      <c r="P672" s="7"/>
    </row>
    <row r="673">
      <c r="D673" s="7"/>
      <c r="J673" s="7"/>
      <c r="P673" s="7"/>
    </row>
    <row r="674">
      <c r="D674" s="7"/>
      <c r="J674" s="7"/>
      <c r="P674" s="7"/>
    </row>
    <row r="675">
      <c r="D675" s="7"/>
      <c r="J675" s="7"/>
      <c r="P675" s="7"/>
    </row>
    <row r="676">
      <c r="D676" s="7"/>
      <c r="J676" s="7"/>
      <c r="P676" s="7"/>
    </row>
    <row r="677">
      <c r="D677" s="7"/>
      <c r="J677" s="7"/>
      <c r="P677" s="7"/>
    </row>
    <row r="678">
      <c r="D678" s="7"/>
      <c r="J678" s="7"/>
      <c r="P678" s="7"/>
    </row>
    <row r="679">
      <c r="D679" s="7"/>
      <c r="J679" s="7"/>
      <c r="P679" s="7"/>
    </row>
    <row r="680">
      <c r="D680" s="7"/>
      <c r="J680" s="7"/>
      <c r="P680" s="7"/>
    </row>
    <row r="681">
      <c r="D681" s="7"/>
      <c r="J681" s="7"/>
      <c r="P681" s="7"/>
    </row>
    <row r="682">
      <c r="D682" s="7"/>
      <c r="J682" s="7"/>
      <c r="P682" s="7"/>
    </row>
    <row r="683">
      <c r="D683" s="7"/>
      <c r="J683" s="7"/>
      <c r="P683" s="7"/>
    </row>
    <row r="684">
      <c r="D684" s="7"/>
      <c r="J684" s="7"/>
      <c r="P684" s="7"/>
    </row>
    <row r="685">
      <c r="D685" s="7"/>
      <c r="J685" s="7"/>
      <c r="P685" s="7"/>
    </row>
    <row r="686">
      <c r="D686" s="7"/>
      <c r="J686" s="7"/>
      <c r="P686" s="7"/>
    </row>
    <row r="687">
      <c r="D687" s="7"/>
      <c r="J687" s="7"/>
      <c r="P687" s="7"/>
    </row>
    <row r="688">
      <c r="D688" s="7"/>
      <c r="J688" s="7"/>
      <c r="P688" s="7"/>
    </row>
    <row r="689">
      <c r="D689" s="7"/>
      <c r="J689" s="7"/>
      <c r="P689" s="7"/>
    </row>
    <row r="690">
      <c r="D690" s="7"/>
      <c r="J690" s="7"/>
      <c r="P690" s="7"/>
    </row>
    <row r="691">
      <c r="D691" s="7"/>
      <c r="J691" s="7"/>
      <c r="P691" s="7"/>
    </row>
    <row r="692">
      <c r="D692" s="7"/>
      <c r="J692" s="7"/>
      <c r="P692" s="7"/>
    </row>
    <row r="693">
      <c r="D693" s="7"/>
      <c r="J693" s="7"/>
      <c r="P693" s="7"/>
    </row>
    <row r="694">
      <c r="D694" s="7"/>
      <c r="J694" s="7"/>
      <c r="P694" s="7"/>
    </row>
    <row r="695">
      <c r="D695" s="7"/>
      <c r="J695" s="7"/>
      <c r="P695" s="7"/>
    </row>
    <row r="696">
      <c r="D696" s="7"/>
      <c r="J696" s="7"/>
      <c r="P696" s="7"/>
    </row>
    <row r="697">
      <c r="D697" s="7"/>
      <c r="J697" s="7"/>
      <c r="P697" s="7"/>
    </row>
    <row r="698">
      <c r="D698" s="7"/>
      <c r="J698" s="7"/>
      <c r="P698" s="7"/>
    </row>
    <row r="699">
      <c r="D699" s="7"/>
      <c r="J699" s="7"/>
      <c r="P699" s="7"/>
    </row>
    <row r="700">
      <c r="D700" s="7"/>
      <c r="J700" s="7"/>
      <c r="P700" s="7"/>
    </row>
    <row r="701">
      <c r="D701" s="7"/>
      <c r="J701" s="7"/>
      <c r="P701" s="7"/>
    </row>
    <row r="702">
      <c r="D702" s="7"/>
      <c r="J702" s="7"/>
      <c r="P702" s="7"/>
    </row>
    <row r="703">
      <c r="D703" s="7"/>
      <c r="J703" s="7"/>
      <c r="P703" s="7"/>
    </row>
    <row r="704">
      <c r="D704" s="7"/>
      <c r="J704" s="7"/>
      <c r="P704" s="7"/>
    </row>
    <row r="705">
      <c r="D705" s="7"/>
      <c r="J705" s="7"/>
      <c r="P705" s="7"/>
    </row>
    <row r="706">
      <c r="D706" s="7"/>
      <c r="J706" s="7"/>
      <c r="P706" s="7"/>
    </row>
    <row r="707">
      <c r="D707" s="7"/>
      <c r="J707" s="7"/>
      <c r="P707" s="7"/>
    </row>
    <row r="708">
      <c r="D708" s="7"/>
      <c r="J708" s="7"/>
      <c r="P708" s="7"/>
    </row>
    <row r="709">
      <c r="D709" s="7"/>
      <c r="J709" s="7"/>
      <c r="P709" s="7"/>
    </row>
    <row r="710">
      <c r="D710" s="7"/>
      <c r="J710" s="7"/>
      <c r="P710" s="7"/>
    </row>
    <row r="711">
      <c r="D711" s="7"/>
      <c r="J711" s="7"/>
      <c r="P711" s="7"/>
    </row>
    <row r="712">
      <c r="D712" s="7"/>
      <c r="J712" s="7"/>
      <c r="P712" s="7"/>
    </row>
    <row r="713">
      <c r="D713" s="7"/>
      <c r="J713" s="7"/>
      <c r="P713" s="7"/>
    </row>
    <row r="714">
      <c r="D714" s="7"/>
      <c r="J714" s="7"/>
      <c r="P714" s="7"/>
    </row>
    <row r="715">
      <c r="D715" s="7"/>
      <c r="J715" s="7"/>
      <c r="P715" s="7"/>
    </row>
    <row r="716">
      <c r="D716" s="7"/>
      <c r="J716" s="7"/>
      <c r="P716" s="7"/>
    </row>
    <row r="717">
      <c r="D717" s="7"/>
      <c r="J717" s="7"/>
      <c r="P717" s="7"/>
    </row>
    <row r="718">
      <c r="D718" s="7"/>
      <c r="J718" s="7"/>
      <c r="P718" s="7"/>
    </row>
    <row r="719">
      <c r="D719" s="7"/>
      <c r="J719" s="7"/>
      <c r="P719" s="7"/>
    </row>
    <row r="720">
      <c r="D720" s="7"/>
      <c r="J720" s="7"/>
      <c r="P720" s="7"/>
    </row>
    <row r="721">
      <c r="D721" s="7"/>
      <c r="J721" s="7"/>
      <c r="P721" s="7"/>
    </row>
    <row r="722">
      <c r="D722" s="7"/>
      <c r="J722" s="7"/>
      <c r="P722" s="7"/>
    </row>
    <row r="723">
      <c r="D723" s="7"/>
      <c r="J723" s="7"/>
      <c r="P723" s="7"/>
    </row>
    <row r="724">
      <c r="D724" s="7"/>
      <c r="J724" s="7"/>
      <c r="P724" s="7"/>
    </row>
    <row r="725">
      <c r="D725" s="7"/>
      <c r="J725" s="7"/>
      <c r="P725" s="7"/>
    </row>
    <row r="726">
      <c r="D726" s="7"/>
      <c r="J726" s="7"/>
      <c r="P726" s="7"/>
    </row>
    <row r="727">
      <c r="D727" s="7"/>
      <c r="J727" s="7"/>
      <c r="P727" s="7"/>
    </row>
    <row r="728">
      <c r="D728" s="7"/>
      <c r="J728" s="7"/>
      <c r="P728" s="7"/>
    </row>
    <row r="729">
      <c r="D729" s="7"/>
      <c r="J729" s="7"/>
      <c r="P729" s="7"/>
    </row>
    <row r="730">
      <c r="D730" s="7"/>
      <c r="J730" s="7"/>
      <c r="P730" s="7"/>
    </row>
    <row r="731">
      <c r="D731" s="7"/>
      <c r="J731" s="7"/>
      <c r="P731" s="7"/>
    </row>
    <row r="732">
      <c r="D732" s="7"/>
      <c r="J732" s="7"/>
      <c r="P732" s="7"/>
    </row>
    <row r="733">
      <c r="D733" s="7"/>
      <c r="J733" s="7"/>
      <c r="P733" s="7"/>
    </row>
    <row r="734">
      <c r="D734" s="7"/>
      <c r="J734" s="7"/>
      <c r="P734" s="7"/>
    </row>
    <row r="735">
      <c r="D735" s="7"/>
      <c r="J735" s="7"/>
      <c r="P735" s="7"/>
    </row>
    <row r="736">
      <c r="D736" s="7"/>
      <c r="J736" s="7"/>
      <c r="P736" s="7"/>
    </row>
    <row r="737">
      <c r="D737" s="7"/>
      <c r="J737" s="7"/>
      <c r="P737" s="7"/>
    </row>
    <row r="738">
      <c r="D738" s="7"/>
      <c r="J738" s="7"/>
      <c r="P738" s="7"/>
    </row>
    <row r="739">
      <c r="D739" s="7"/>
      <c r="J739" s="7"/>
      <c r="P739" s="7"/>
    </row>
    <row r="740">
      <c r="D740" s="7"/>
      <c r="J740" s="7"/>
      <c r="P740" s="7"/>
    </row>
    <row r="741">
      <c r="D741" s="7"/>
      <c r="J741" s="7"/>
      <c r="P741" s="7"/>
    </row>
    <row r="742">
      <c r="D742" s="7"/>
      <c r="J742" s="7"/>
      <c r="P742" s="7"/>
    </row>
    <row r="743">
      <c r="D743" s="7"/>
      <c r="J743" s="7"/>
      <c r="P743" s="7"/>
    </row>
    <row r="744">
      <c r="D744" s="7"/>
      <c r="J744" s="7"/>
      <c r="P744" s="7"/>
    </row>
    <row r="745">
      <c r="D745" s="7"/>
      <c r="J745" s="7"/>
      <c r="P745" s="7"/>
    </row>
    <row r="746">
      <c r="D746" s="7"/>
      <c r="J746" s="7"/>
      <c r="P746" s="7"/>
    </row>
    <row r="747">
      <c r="D747" s="7"/>
      <c r="J747" s="7"/>
      <c r="P747" s="7"/>
    </row>
    <row r="748">
      <c r="D748" s="7"/>
      <c r="J748" s="7"/>
      <c r="P748" s="7"/>
    </row>
    <row r="749">
      <c r="D749" s="7"/>
      <c r="J749" s="7"/>
      <c r="P749" s="7"/>
    </row>
    <row r="750">
      <c r="D750" s="7"/>
      <c r="J750" s="7"/>
      <c r="P750" s="7"/>
    </row>
    <row r="751">
      <c r="D751" s="7"/>
      <c r="J751" s="7"/>
      <c r="P751" s="7"/>
    </row>
    <row r="752">
      <c r="D752" s="7"/>
      <c r="J752" s="7"/>
      <c r="P752" s="7"/>
    </row>
    <row r="753">
      <c r="D753" s="7"/>
      <c r="J753" s="7"/>
      <c r="P753" s="7"/>
    </row>
    <row r="754">
      <c r="D754" s="7"/>
      <c r="J754" s="7"/>
      <c r="P754" s="7"/>
    </row>
    <row r="755">
      <c r="D755" s="7"/>
      <c r="J755" s="7"/>
      <c r="P755" s="7"/>
    </row>
    <row r="756">
      <c r="D756" s="7"/>
      <c r="J756" s="7"/>
      <c r="P756" s="7"/>
    </row>
    <row r="757">
      <c r="D757" s="7"/>
      <c r="J757" s="7"/>
      <c r="P757" s="7"/>
    </row>
    <row r="758">
      <c r="D758" s="7"/>
      <c r="J758" s="7"/>
      <c r="P758" s="7"/>
    </row>
    <row r="759">
      <c r="D759" s="7"/>
      <c r="J759" s="7"/>
      <c r="P759" s="7"/>
    </row>
    <row r="760">
      <c r="D760" s="7"/>
      <c r="J760" s="7"/>
      <c r="P760" s="7"/>
    </row>
    <row r="761">
      <c r="D761" s="7"/>
      <c r="J761" s="7"/>
      <c r="P761" s="7"/>
    </row>
    <row r="762">
      <c r="D762" s="7"/>
      <c r="J762" s="7"/>
      <c r="P762" s="7"/>
    </row>
    <row r="763">
      <c r="D763" s="7"/>
      <c r="J763" s="7"/>
      <c r="P763" s="7"/>
    </row>
    <row r="764">
      <c r="D764" s="7"/>
      <c r="J764" s="7"/>
      <c r="P764" s="7"/>
    </row>
    <row r="765">
      <c r="D765" s="7"/>
      <c r="J765" s="7"/>
      <c r="P765" s="7"/>
    </row>
    <row r="766">
      <c r="D766" s="7"/>
      <c r="J766" s="7"/>
      <c r="P766" s="7"/>
    </row>
    <row r="767">
      <c r="D767" s="7"/>
      <c r="J767" s="7"/>
      <c r="P767" s="7"/>
    </row>
    <row r="768">
      <c r="D768" s="7"/>
      <c r="J768" s="7"/>
      <c r="P768" s="7"/>
    </row>
    <row r="769">
      <c r="D769" s="7"/>
      <c r="J769" s="7"/>
      <c r="P769" s="7"/>
    </row>
    <row r="770">
      <c r="D770" s="7"/>
      <c r="J770" s="7"/>
      <c r="P770" s="7"/>
    </row>
    <row r="771">
      <c r="D771" s="7"/>
      <c r="J771" s="7"/>
      <c r="P771" s="7"/>
    </row>
    <row r="772">
      <c r="D772" s="7"/>
      <c r="J772" s="7"/>
      <c r="P772" s="7"/>
    </row>
    <row r="773">
      <c r="D773" s="7"/>
      <c r="J773" s="7"/>
      <c r="P773" s="7"/>
    </row>
    <row r="774">
      <c r="D774" s="7"/>
      <c r="J774" s="7"/>
      <c r="P774" s="7"/>
    </row>
    <row r="775">
      <c r="D775" s="7"/>
      <c r="J775" s="7"/>
      <c r="P775" s="7"/>
    </row>
    <row r="776">
      <c r="D776" s="7"/>
      <c r="J776" s="7"/>
      <c r="P776" s="7"/>
    </row>
    <row r="777">
      <c r="D777" s="7"/>
      <c r="J777" s="7"/>
      <c r="P777" s="7"/>
    </row>
    <row r="778">
      <c r="D778" s="7"/>
      <c r="J778" s="7"/>
      <c r="P778" s="7"/>
    </row>
    <row r="779">
      <c r="D779" s="7"/>
      <c r="J779" s="7"/>
      <c r="P779" s="7"/>
    </row>
    <row r="780">
      <c r="D780" s="7"/>
      <c r="J780" s="7"/>
      <c r="P780" s="7"/>
    </row>
    <row r="781">
      <c r="D781" s="7"/>
      <c r="J781" s="7"/>
      <c r="P781" s="7"/>
    </row>
    <row r="782">
      <c r="D782" s="7"/>
      <c r="J782" s="7"/>
      <c r="P782" s="7"/>
    </row>
    <row r="783">
      <c r="D783" s="7"/>
      <c r="J783" s="7"/>
      <c r="P783" s="7"/>
    </row>
    <row r="784">
      <c r="D784" s="7"/>
      <c r="J784" s="7"/>
      <c r="P784" s="7"/>
    </row>
    <row r="785">
      <c r="D785" s="7"/>
      <c r="J785" s="7"/>
      <c r="P785" s="7"/>
    </row>
    <row r="786">
      <c r="D786" s="7"/>
      <c r="J786" s="7"/>
      <c r="P786" s="7"/>
    </row>
    <row r="787">
      <c r="D787" s="7"/>
      <c r="J787" s="7"/>
      <c r="P787" s="7"/>
    </row>
    <row r="788">
      <c r="D788" s="7"/>
      <c r="J788" s="7"/>
      <c r="P788" s="7"/>
    </row>
    <row r="789">
      <c r="D789" s="7"/>
      <c r="J789" s="7"/>
      <c r="P789" s="7"/>
    </row>
    <row r="790">
      <c r="D790" s="7"/>
      <c r="J790" s="7"/>
      <c r="P790" s="7"/>
    </row>
    <row r="791">
      <c r="D791" s="7"/>
      <c r="J791" s="7"/>
      <c r="P791" s="7"/>
    </row>
    <row r="792">
      <c r="D792" s="7"/>
      <c r="J792" s="7"/>
      <c r="P792" s="7"/>
    </row>
    <row r="793">
      <c r="D793" s="7"/>
      <c r="J793" s="7"/>
      <c r="P793" s="7"/>
    </row>
    <row r="794">
      <c r="D794" s="7"/>
      <c r="J794" s="7"/>
      <c r="P794" s="7"/>
    </row>
    <row r="795">
      <c r="D795" s="7"/>
      <c r="J795" s="7"/>
      <c r="P795" s="7"/>
    </row>
    <row r="796">
      <c r="D796" s="7"/>
      <c r="J796" s="7"/>
      <c r="P796" s="7"/>
    </row>
    <row r="797">
      <c r="D797" s="7"/>
      <c r="J797" s="7"/>
      <c r="P797" s="7"/>
    </row>
    <row r="798">
      <c r="D798" s="7"/>
      <c r="J798" s="7"/>
      <c r="P798" s="7"/>
    </row>
    <row r="799">
      <c r="D799" s="7"/>
      <c r="J799" s="7"/>
      <c r="P799" s="7"/>
    </row>
    <row r="800">
      <c r="D800" s="7"/>
      <c r="J800" s="7"/>
      <c r="P800" s="7"/>
    </row>
    <row r="801">
      <c r="D801" s="7"/>
      <c r="J801" s="7"/>
      <c r="P801" s="7"/>
    </row>
    <row r="802">
      <c r="D802" s="7"/>
      <c r="J802" s="7"/>
      <c r="P802" s="7"/>
    </row>
    <row r="803">
      <c r="D803" s="7"/>
      <c r="J803" s="7"/>
      <c r="P803" s="7"/>
    </row>
    <row r="804">
      <c r="D804" s="7"/>
      <c r="J804" s="7"/>
      <c r="P804" s="7"/>
    </row>
    <row r="805">
      <c r="D805" s="7"/>
      <c r="J805" s="7"/>
      <c r="P805" s="7"/>
    </row>
    <row r="806">
      <c r="D806" s="7"/>
      <c r="J806" s="7"/>
      <c r="P806" s="7"/>
    </row>
    <row r="807">
      <c r="D807" s="7"/>
      <c r="J807" s="7"/>
      <c r="P807" s="7"/>
    </row>
    <row r="808">
      <c r="D808" s="7"/>
      <c r="J808" s="7"/>
      <c r="P808" s="7"/>
    </row>
    <row r="809">
      <c r="D809" s="7"/>
      <c r="J809" s="7"/>
      <c r="P809" s="7"/>
    </row>
    <row r="810">
      <c r="D810" s="7"/>
      <c r="J810" s="7"/>
      <c r="P810" s="7"/>
    </row>
    <row r="811">
      <c r="D811" s="7"/>
      <c r="J811" s="7"/>
      <c r="P811" s="7"/>
    </row>
    <row r="812">
      <c r="D812" s="7"/>
      <c r="J812" s="7"/>
      <c r="P812" s="7"/>
    </row>
    <row r="813">
      <c r="D813" s="7"/>
      <c r="J813" s="7"/>
      <c r="P813" s="7"/>
    </row>
    <row r="814">
      <c r="D814" s="7"/>
      <c r="J814" s="7"/>
      <c r="P814" s="7"/>
    </row>
    <row r="815">
      <c r="D815" s="7"/>
      <c r="J815" s="7"/>
      <c r="P815" s="7"/>
    </row>
    <row r="816">
      <c r="D816" s="7"/>
      <c r="J816" s="7"/>
      <c r="P816" s="7"/>
    </row>
    <row r="817">
      <c r="D817" s="7"/>
      <c r="J817" s="7"/>
      <c r="P817" s="7"/>
    </row>
    <row r="818">
      <c r="D818" s="7"/>
      <c r="J818" s="7"/>
      <c r="P818" s="7"/>
    </row>
    <row r="819">
      <c r="D819" s="7"/>
      <c r="J819" s="7"/>
      <c r="P819" s="7"/>
    </row>
    <row r="820">
      <c r="D820" s="7"/>
      <c r="J820" s="7"/>
      <c r="P820" s="7"/>
    </row>
    <row r="821">
      <c r="D821" s="7"/>
      <c r="J821" s="7"/>
      <c r="P821" s="7"/>
    </row>
    <row r="822">
      <c r="D822" s="7"/>
      <c r="J822" s="7"/>
      <c r="P822" s="7"/>
    </row>
    <row r="823">
      <c r="D823" s="7"/>
      <c r="J823" s="7"/>
      <c r="P823" s="7"/>
    </row>
    <row r="824">
      <c r="D824" s="7"/>
      <c r="J824" s="7"/>
      <c r="P824" s="7"/>
    </row>
    <row r="825">
      <c r="D825" s="7"/>
      <c r="J825" s="7"/>
      <c r="P825" s="7"/>
    </row>
    <row r="826">
      <c r="D826" s="7"/>
      <c r="J826" s="7"/>
      <c r="P826" s="7"/>
    </row>
    <row r="827">
      <c r="D827" s="7"/>
      <c r="J827" s="7"/>
      <c r="P827" s="7"/>
    </row>
    <row r="828">
      <c r="D828" s="7"/>
      <c r="J828" s="7"/>
      <c r="P828" s="7"/>
    </row>
    <row r="829">
      <c r="D829" s="7"/>
      <c r="J829" s="7"/>
      <c r="P829" s="7"/>
    </row>
    <row r="830">
      <c r="D830" s="7"/>
      <c r="J830" s="7"/>
      <c r="P830" s="7"/>
    </row>
    <row r="831">
      <c r="D831" s="7"/>
      <c r="J831" s="7"/>
      <c r="P831" s="7"/>
    </row>
    <row r="832">
      <c r="D832" s="7"/>
      <c r="J832" s="7"/>
      <c r="P832" s="7"/>
    </row>
    <row r="833">
      <c r="D833" s="7"/>
      <c r="J833" s="7"/>
      <c r="P833" s="7"/>
    </row>
    <row r="834">
      <c r="D834" s="7"/>
      <c r="J834" s="7"/>
      <c r="P834" s="7"/>
    </row>
    <row r="835">
      <c r="D835" s="7"/>
      <c r="J835" s="7"/>
      <c r="P835" s="7"/>
    </row>
    <row r="836">
      <c r="D836" s="7"/>
      <c r="J836" s="7"/>
      <c r="P836" s="7"/>
    </row>
    <row r="837">
      <c r="D837" s="7"/>
      <c r="J837" s="7"/>
      <c r="P837" s="7"/>
    </row>
    <row r="838">
      <c r="D838" s="7"/>
      <c r="J838" s="7"/>
      <c r="P838" s="7"/>
    </row>
    <row r="839">
      <c r="D839" s="7"/>
      <c r="J839" s="7"/>
      <c r="P839" s="7"/>
    </row>
    <row r="840">
      <c r="D840" s="7"/>
      <c r="J840" s="7"/>
      <c r="P840" s="7"/>
    </row>
    <row r="841">
      <c r="D841" s="7"/>
      <c r="J841" s="7"/>
      <c r="P841" s="7"/>
    </row>
    <row r="842">
      <c r="D842" s="7"/>
      <c r="J842" s="7"/>
      <c r="P842" s="7"/>
    </row>
    <row r="843">
      <c r="D843" s="7"/>
      <c r="J843" s="7"/>
      <c r="P843" s="7"/>
    </row>
    <row r="844">
      <c r="D844" s="7"/>
      <c r="J844" s="7"/>
      <c r="P844" s="7"/>
    </row>
    <row r="845">
      <c r="D845" s="7"/>
      <c r="J845" s="7"/>
      <c r="P845" s="7"/>
    </row>
    <row r="846">
      <c r="D846" s="7"/>
      <c r="J846" s="7"/>
      <c r="P846" s="7"/>
    </row>
    <row r="847">
      <c r="D847" s="7"/>
      <c r="J847" s="7"/>
      <c r="P847" s="7"/>
    </row>
    <row r="848">
      <c r="D848" s="7"/>
      <c r="J848" s="7"/>
      <c r="P848" s="7"/>
    </row>
    <row r="849">
      <c r="D849" s="7"/>
      <c r="J849" s="7"/>
      <c r="P849" s="7"/>
    </row>
    <row r="850">
      <c r="D850" s="7"/>
      <c r="J850" s="7"/>
      <c r="P850" s="7"/>
    </row>
    <row r="851">
      <c r="D851" s="7"/>
      <c r="J851" s="7"/>
      <c r="P851" s="7"/>
    </row>
    <row r="852">
      <c r="D852" s="7"/>
      <c r="J852" s="7"/>
      <c r="P852" s="7"/>
    </row>
    <row r="853">
      <c r="D853" s="7"/>
      <c r="J853" s="7"/>
      <c r="P853" s="7"/>
    </row>
    <row r="854">
      <c r="D854" s="7"/>
      <c r="J854" s="7"/>
      <c r="P854" s="7"/>
    </row>
    <row r="855">
      <c r="D855" s="7"/>
      <c r="J855" s="7"/>
      <c r="P855" s="7"/>
    </row>
    <row r="856">
      <c r="D856" s="7"/>
      <c r="J856" s="7"/>
      <c r="P856" s="7"/>
    </row>
    <row r="857">
      <c r="D857" s="7"/>
      <c r="J857" s="7"/>
      <c r="P857" s="7"/>
    </row>
    <row r="858">
      <c r="D858" s="7"/>
      <c r="J858" s="7"/>
      <c r="P858" s="7"/>
    </row>
    <row r="859">
      <c r="D859" s="7"/>
      <c r="J859" s="7"/>
      <c r="P859" s="7"/>
    </row>
    <row r="860">
      <c r="D860" s="7"/>
      <c r="J860" s="7"/>
      <c r="P860" s="7"/>
    </row>
    <row r="861">
      <c r="D861" s="7"/>
      <c r="J861" s="7"/>
      <c r="P861" s="7"/>
    </row>
    <row r="862">
      <c r="D862" s="7"/>
      <c r="J862" s="7"/>
      <c r="P862" s="7"/>
    </row>
    <row r="863">
      <c r="D863" s="7"/>
      <c r="J863" s="7"/>
      <c r="P863" s="7"/>
    </row>
    <row r="864">
      <c r="D864" s="7"/>
      <c r="J864" s="7"/>
      <c r="P864" s="7"/>
    </row>
    <row r="865">
      <c r="D865" s="7"/>
      <c r="J865" s="7"/>
      <c r="P865" s="7"/>
    </row>
    <row r="866">
      <c r="D866" s="7"/>
      <c r="J866" s="7"/>
      <c r="P866" s="7"/>
    </row>
    <row r="867">
      <c r="D867" s="7"/>
      <c r="J867" s="7"/>
      <c r="P867" s="7"/>
    </row>
    <row r="868">
      <c r="D868" s="7"/>
      <c r="J868" s="7"/>
      <c r="P868" s="7"/>
    </row>
    <row r="869">
      <c r="D869" s="7"/>
      <c r="J869" s="7"/>
      <c r="P869" s="7"/>
    </row>
    <row r="870">
      <c r="D870" s="7"/>
      <c r="J870" s="7"/>
      <c r="P870" s="7"/>
    </row>
    <row r="871">
      <c r="D871" s="7"/>
      <c r="J871" s="7"/>
      <c r="P871" s="7"/>
    </row>
    <row r="872">
      <c r="D872" s="7"/>
      <c r="J872" s="7"/>
      <c r="P872" s="7"/>
    </row>
    <row r="873">
      <c r="D873" s="7"/>
      <c r="J873" s="7"/>
      <c r="P873" s="7"/>
    </row>
    <row r="874">
      <c r="D874" s="7"/>
      <c r="J874" s="7"/>
      <c r="P874" s="7"/>
    </row>
    <row r="875">
      <c r="D875" s="7"/>
      <c r="J875" s="7"/>
      <c r="P875" s="7"/>
    </row>
    <row r="876">
      <c r="D876" s="7"/>
      <c r="J876" s="7"/>
      <c r="P876" s="7"/>
    </row>
    <row r="877">
      <c r="D877" s="7"/>
      <c r="J877" s="7"/>
      <c r="P877" s="7"/>
    </row>
    <row r="878">
      <c r="D878" s="7"/>
      <c r="J878" s="7"/>
      <c r="P878" s="7"/>
    </row>
    <row r="879">
      <c r="D879" s="7"/>
      <c r="J879" s="7"/>
      <c r="P879" s="7"/>
    </row>
    <row r="880">
      <c r="D880" s="7"/>
      <c r="J880" s="7"/>
      <c r="P880" s="7"/>
    </row>
    <row r="881">
      <c r="D881" s="7"/>
      <c r="J881" s="7"/>
      <c r="P881" s="7"/>
    </row>
    <row r="882">
      <c r="D882" s="7"/>
      <c r="J882" s="7"/>
      <c r="P882" s="7"/>
    </row>
    <row r="883">
      <c r="D883" s="7"/>
      <c r="J883" s="7"/>
      <c r="P883" s="7"/>
    </row>
    <row r="884">
      <c r="D884" s="7"/>
      <c r="J884" s="7"/>
      <c r="P884" s="7"/>
    </row>
    <row r="885">
      <c r="D885" s="7"/>
      <c r="J885" s="7"/>
      <c r="P885" s="7"/>
    </row>
    <row r="886">
      <c r="D886" s="7"/>
      <c r="J886" s="7"/>
      <c r="P886" s="7"/>
    </row>
    <row r="887">
      <c r="D887" s="7"/>
      <c r="J887" s="7"/>
      <c r="P887" s="7"/>
    </row>
    <row r="888">
      <c r="D888" s="7"/>
      <c r="J888" s="7"/>
      <c r="P888" s="7"/>
    </row>
    <row r="889">
      <c r="D889" s="7"/>
      <c r="J889" s="7"/>
      <c r="P889" s="7"/>
    </row>
    <row r="890">
      <c r="D890" s="7"/>
      <c r="J890" s="7"/>
      <c r="P890" s="7"/>
    </row>
    <row r="891">
      <c r="D891" s="7"/>
      <c r="J891" s="7"/>
      <c r="P891" s="7"/>
    </row>
    <row r="892">
      <c r="D892" s="7"/>
      <c r="J892" s="7"/>
      <c r="P892" s="7"/>
    </row>
    <row r="893">
      <c r="D893" s="7"/>
      <c r="J893" s="7"/>
      <c r="P893" s="7"/>
    </row>
    <row r="894">
      <c r="D894" s="7"/>
      <c r="J894" s="7"/>
      <c r="P894" s="7"/>
    </row>
    <row r="895">
      <c r="D895" s="7"/>
      <c r="J895" s="7"/>
      <c r="P895" s="7"/>
    </row>
    <row r="896">
      <c r="D896" s="7"/>
      <c r="J896" s="7"/>
      <c r="P896" s="7"/>
    </row>
    <row r="897">
      <c r="D897" s="7"/>
      <c r="J897" s="7"/>
      <c r="P897" s="7"/>
    </row>
    <row r="898">
      <c r="D898" s="7"/>
      <c r="J898" s="7"/>
      <c r="P898" s="7"/>
    </row>
    <row r="899">
      <c r="D899" s="7"/>
      <c r="J899" s="7"/>
      <c r="P899" s="7"/>
    </row>
    <row r="900">
      <c r="D900" s="7"/>
      <c r="J900" s="7"/>
      <c r="P900" s="7"/>
    </row>
    <row r="901">
      <c r="D901" s="7"/>
      <c r="J901" s="7"/>
      <c r="P901" s="7"/>
    </row>
    <row r="902">
      <c r="D902" s="7"/>
      <c r="J902" s="7"/>
      <c r="P902" s="7"/>
    </row>
    <row r="903">
      <c r="D903" s="7"/>
      <c r="J903" s="7"/>
      <c r="P903" s="7"/>
    </row>
    <row r="904">
      <c r="D904" s="7"/>
      <c r="J904" s="7"/>
      <c r="P904" s="7"/>
    </row>
    <row r="905">
      <c r="D905" s="7"/>
      <c r="J905" s="7"/>
      <c r="P905" s="7"/>
    </row>
    <row r="906">
      <c r="D906" s="7"/>
      <c r="J906" s="7"/>
      <c r="P906" s="7"/>
    </row>
    <row r="907">
      <c r="D907" s="7"/>
      <c r="J907" s="7"/>
      <c r="P907" s="7"/>
    </row>
    <row r="908">
      <c r="D908" s="7"/>
      <c r="J908" s="7"/>
      <c r="P908" s="7"/>
    </row>
    <row r="909">
      <c r="D909" s="7"/>
      <c r="J909" s="7"/>
      <c r="P909" s="7"/>
    </row>
    <row r="910">
      <c r="D910" s="7"/>
      <c r="J910" s="7"/>
      <c r="P910" s="7"/>
    </row>
    <row r="911">
      <c r="D911" s="7"/>
      <c r="J911" s="7"/>
      <c r="P911" s="7"/>
    </row>
    <row r="912">
      <c r="D912" s="7"/>
      <c r="J912" s="7"/>
      <c r="P912" s="7"/>
    </row>
    <row r="913">
      <c r="D913" s="7"/>
      <c r="J913" s="7"/>
      <c r="P913" s="7"/>
    </row>
    <row r="914">
      <c r="D914" s="7"/>
      <c r="J914" s="7"/>
      <c r="P914" s="7"/>
    </row>
    <row r="915">
      <c r="D915" s="7"/>
      <c r="J915" s="7"/>
      <c r="P915" s="7"/>
    </row>
    <row r="916">
      <c r="D916" s="7"/>
      <c r="J916" s="7"/>
      <c r="P916" s="7"/>
    </row>
    <row r="917">
      <c r="D917" s="7"/>
      <c r="J917" s="7"/>
      <c r="P917" s="7"/>
    </row>
    <row r="918">
      <c r="D918" s="7"/>
      <c r="J918" s="7"/>
      <c r="P918" s="7"/>
    </row>
    <row r="919">
      <c r="D919" s="7"/>
      <c r="J919" s="7"/>
      <c r="P919" s="7"/>
    </row>
    <row r="920">
      <c r="D920" s="7"/>
      <c r="J920" s="7"/>
      <c r="P920" s="7"/>
    </row>
    <row r="921">
      <c r="D921" s="7"/>
      <c r="J921" s="7"/>
      <c r="P921" s="7"/>
    </row>
    <row r="922">
      <c r="D922" s="7"/>
      <c r="J922" s="7"/>
      <c r="P922" s="7"/>
    </row>
    <row r="923">
      <c r="D923" s="7"/>
      <c r="J923" s="7"/>
      <c r="P923" s="7"/>
    </row>
    <row r="924">
      <c r="D924" s="7"/>
      <c r="J924" s="7"/>
      <c r="P924" s="7"/>
    </row>
    <row r="925">
      <c r="D925" s="7"/>
      <c r="J925" s="7"/>
      <c r="P925" s="7"/>
    </row>
    <row r="926">
      <c r="D926" s="7"/>
      <c r="J926" s="7"/>
      <c r="P926" s="7"/>
    </row>
    <row r="927">
      <c r="D927" s="7"/>
      <c r="J927" s="7"/>
      <c r="P927" s="7"/>
    </row>
    <row r="928">
      <c r="D928" s="7"/>
      <c r="J928" s="7"/>
      <c r="P928" s="7"/>
    </row>
    <row r="929">
      <c r="D929" s="7"/>
      <c r="J929" s="7"/>
      <c r="P929" s="7"/>
    </row>
    <row r="930">
      <c r="D930" s="7"/>
      <c r="J930" s="7"/>
      <c r="P930" s="7"/>
    </row>
    <row r="931">
      <c r="D931" s="7"/>
      <c r="J931" s="7"/>
      <c r="P931" s="7"/>
    </row>
    <row r="932">
      <c r="D932" s="7"/>
      <c r="J932" s="7"/>
      <c r="P932" s="7"/>
    </row>
    <row r="933">
      <c r="D933" s="7"/>
      <c r="J933" s="7"/>
      <c r="P933" s="7"/>
    </row>
    <row r="934">
      <c r="D934" s="7"/>
      <c r="J934" s="7"/>
      <c r="P934" s="7"/>
    </row>
    <row r="935">
      <c r="D935" s="7"/>
      <c r="J935" s="7"/>
      <c r="P935" s="7"/>
    </row>
    <row r="936">
      <c r="D936" s="7"/>
      <c r="J936" s="7"/>
      <c r="P936" s="7"/>
    </row>
    <row r="937">
      <c r="D937" s="7"/>
      <c r="J937" s="7"/>
      <c r="P937" s="7"/>
    </row>
    <row r="938">
      <c r="D938" s="7"/>
      <c r="J938" s="7"/>
      <c r="P938" s="7"/>
    </row>
    <row r="939">
      <c r="D939" s="7"/>
      <c r="J939" s="7"/>
      <c r="P939" s="7"/>
    </row>
    <row r="940">
      <c r="D940" s="7"/>
      <c r="J940" s="7"/>
      <c r="P940" s="7"/>
    </row>
    <row r="941">
      <c r="D941" s="7"/>
      <c r="J941" s="7"/>
      <c r="P941" s="7"/>
    </row>
    <row r="942">
      <c r="D942" s="7"/>
      <c r="J942" s="7"/>
      <c r="P942" s="7"/>
    </row>
    <row r="943">
      <c r="D943" s="7"/>
      <c r="J943" s="7"/>
      <c r="P943" s="7"/>
    </row>
    <row r="944">
      <c r="D944" s="7"/>
      <c r="J944" s="7"/>
      <c r="P944" s="7"/>
    </row>
    <row r="945">
      <c r="D945" s="7"/>
      <c r="J945" s="7"/>
      <c r="P945" s="7"/>
    </row>
    <row r="946">
      <c r="D946" s="7"/>
      <c r="J946" s="7"/>
      <c r="P946" s="7"/>
    </row>
    <row r="947">
      <c r="D947" s="7"/>
      <c r="J947" s="7"/>
      <c r="P947" s="7"/>
    </row>
    <row r="948">
      <c r="D948" s="7"/>
      <c r="J948" s="7"/>
      <c r="P948" s="7"/>
    </row>
    <row r="949">
      <c r="D949" s="7"/>
      <c r="J949" s="7"/>
      <c r="P949" s="7"/>
    </row>
    <row r="950">
      <c r="D950" s="7"/>
      <c r="J950" s="7"/>
      <c r="P950" s="7"/>
    </row>
    <row r="951">
      <c r="D951" s="7"/>
      <c r="J951" s="7"/>
      <c r="P951" s="7"/>
    </row>
    <row r="952">
      <c r="D952" s="7"/>
      <c r="J952" s="7"/>
      <c r="P952" s="7"/>
    </row>
    <row r="953">
      <c r="D953" s="7"/>
      <c r="J953" s="7"/>
      <c r="P953" s="7"/>
    </row>
    <row r="954">
      <c r="D954" s="7"/>
      <c r="J954" s="7"/>
      <c r="P954" s="7"/>
    </row>
    <row r="955">
      <c r="D955" s="7"/>
      <c r="J955" s="7"/>
      <c r="P955" s="7"/>
    </row>
    <row r="956">
      <c r="D956" s="7"/>
      <c r="J956" s="7"/>
      <c r="P956" s="7"/>
    </row>
    <row r="957">
      <c r="D957" s="7"/>
      <c r="J957" s="7"/>
      <c r="P957" s="7"/>
    </row>
    <row r="958">
      <c r="D958" s="7"/>
      <c r="J958" s="7"/>
      <c r="P958" s="7"/>
    </row>
    <row r="959">
      <c r="D959" s="7"/>
      <c r="J959" s="7"/>
      <c r="P959" s="7"/>
    </row>
    <row r="960">
      <c r="D960" s="7"/>
      <c r="J960" s="7"/>
      <c r="P960" s="7"/>
    </row>
    <row r="961">
      <c r="D961" s="7"/>
      <c r="J961" s="7"/>
      <c r="P961" s="7"/>
    </row>
    <row r="962">
      <c r="D962" s="7"/>
      <c r="J962" s="7"/>
      <c r="P962" s="7"/>
    </row>
    <row r="963">
      <c r="D963" s="7"/>
      <c r="J963" s="7"/>
      <c r="P963" s="7"/>
    </row>
    <row r="964">
      <c r="D964" s="7"/>
      <c r="J964" s="7"/>
      <c r="P964" s="7"/>
    </row>
    <row r="965">
      <c r="D965" s="7"/>
      <c r="J965" s="7"/>
      <c r="P965" s="7"/>
    </row>
    <row r="966">
      <c r="D966" s="7"/>
      <c r="J966" s="7"/>
      <c r="P966" s="7"/>
    </row>
    <row r="967">
      <c r="D967" s="7"/>
      <c r="J967" s="7"/>
      <c r="P967" s="7"/>
    </row>
    <row r="968">
      <c r="D968" s="7"/>
      <c r="J968" s="7"/>
      <c r="P968" s="7"/>
    </row>
    <row r="969">
      <c r="D969" s="7"/>
      <c r="J969" s="7"/>
      <c r="P969" s="7"/>
    </row>
    <row r="970">
      <c r="D970" s="7"/>
      <c r="J970" s="7"/>
      <c r="P970" s="7"/>
    </row>
    <row r="971">
      <c r="D971" s="7"/>
      <c r="J971" s="7"/>
      <c r="P971" s="7"/>
    </row>
    <row r="972">
      <c r="D972" s="7"/>
      <c r="J972" s="7"/>
      <c r="P972" s="7"/>
    </row>
    <row r="973">
      <c r="D973" s="7"/>
      <c r="J973" s="7"/>
      <c r="P973" s="7"/>
    </row>
    <row r="974">
      <c r="D974" s="7"/>
      <c r="J974" s="7"/>
      <c r="P974" s="7"/>
    </row>
    <row r="975">
      <c r="D975" s="7"/>
      <c r="J975" s="7"/>
      <c r="P975" s="7"/>
    </row>
    <row r="976">
      <c r="D976" s="7"/>
      <c r="J976" s="7"/>
      <c r="P976" s="7"/>
    </row>
    <row r="977">
      <c r="D977" s="7"/>
      <c r="J977" s="7"/>
      <c r="P977" s="7"/>
    </row>
    <row r="978">
      <c r="D978" s="7"/>
      <c r="J978" s="7"/>
      <c r="P978" s="7"/>
    </row>
    <row r="979">
      <c r="D979" s="7"/>
      <c r="J979" s="7"/>
      <c r="P979" s="7"/>
    </row>
    <row r="980">
      <c r="D980" s="7"/>
      <c r="J980" s="7"/>
      <c r="P980" s="7"/>
    </row>
    <row r="981">
      <c r="D981" s="7"/>
      <c r="J981" s="7"/>
      <c r="P981" s="7"/>
    </row>
    <row r="982">
      <c r="D982" s="7"/>
      <c r="J982" s="7"/>
      <c r="P982" s="7"/>
    </row>
    <row r="983">
      <c r="D983" s="7"/>
      <c r="J983" s="7"/>
      <c r="P983" s="7"/>
    </row>
    <row r="984">
      <c r="D984" s="7"/>
      <c r="J984" s="7"/>
      <c r="P984" s="7"/>
    </row>
    <row r="985">
      <c r="D985" s="7"/>
      <c r="J985" s="7"/>
      <c r="P985" s="7"/>
    </row>
    <row r="986">
      <c r="D986" s="7"/>
      <c r="J986" s="7"/>
      <c r="P986" s="7"/>
    </row>
    <row r="987">
      <c r="D987" s="7"/>
      <c r="J987" s="7"/>
      <c r="P987" s="7"/>
    </row>
    <row r="988">
      <c r="D988" s="7"/>
      <c r="J988" s="7"/>
      <c r="P988" s="7"/>
    </row>
    <row r="989">
      <c r="D989" s="7"/>
      <c r="J989" s="7"/>
      <c r="P989" s="7"/>
    </row>
    <row r="990">
      <c r="D990" s="7"/>
      <c r="J990" s="7"/>
      <c r="P990" s="7"/>
    </row>
    <row r="991">
      <c r="D991" s="7"/>
      <c r="J991" s="7"/>
      <c r="P991" s="7"/>
    </row>
    <row r="992">
      <c r="D992" s="7"/>
      <c r="J992" s="7"/>
      <c r="P992" s="7"/>
    </row>
    <row r="993">
      <c r="D993" s="7"/>
      <c r="J993" s="7"/>
      <c r="P993" s="7"/>
    </row>
    <row r="994">
      <c r="D994" s="7"/>
      <c r="J994" s="7"/>
      <c r="P994" s="7"/>
    </row>
    <row r="995">
      <c r="D995" s="7"/>
      <c r="J995" s="7"/>
      <c r="P995" s="7"/>
    </row>
    <row r="996">
      <c r="D996" s="7"/>
      <c r="J996" s="7"/>
      <c r="P996" s="7"/>
    </row>
    <row r="997">
      <c r="D997" s="7"/>
      <c r="J997" s="7"/>
      <c r="P997" s="7"/>
    </row>
    <row r="998">
      <c r="D998" s="7"/>
      <c r="J998" s="7"/>
      <c r="P998" s="7"/>
    </row>
    <row r="999">
      <c r="D999" s="7"/>
      <c r="J999" s="7"/>
      <c r="P999" s="7"/>
    </row>
    <row r="1000">
      <c r="D1000" s="7"/>
      <c r="J1000" s="7"/>
      <c r="P1000" s="7"/>
    </row>
  </sheetData>
  <mergeCells count="103">
    <mergeCell ref="Q27:S27"/>
    <mergeCell ref="U27:W27"/>
    <mergeCell ref="L28:M28"/>
    <mergeCell ref="Q28:R28"/>
    <mergeCell ref="Q30:R30"/>
    <mergeCell ref="U30:V30"/>
    <mergeCell ref="U31:V31"/>
    <mergeCell ref="Q31:R31"/>
    <mergeCell ref="Q32:R32"/>
    <mergeCell ref="U32:V32"/>
    <mergeCell ref="Q33:R33"/>
    <mergeCell ref="U33:V33"/>
    <mergeCell ref="Q34:R34"/>
    <mergeCell ref="Q35:R35"/>
    <mergeCell ref="U44:V44"/>
    <mergeCell ref="U45:V45"/>
    <mergeCell ref="Q40:S40"/>
    <mergeCell ref="U40:W40"/>
    <mergeCell ref="Q41:S41"/>
    <mergeCell ref="U41:W41"/>
    <mergeCell ref="Q42:R42"/>
    <mergeCell ref="Q44:R44"/>
    <mergeCell ref="Q45:R45"/>
    <mergeCell ref="Q47:R47"/>
    <mergeCell ref="U47:V47"/>
    <mergeCell ref="Q48:R48"/>
    <mergeCell ref="U48:V48"/>
    <mergeCell ref="Q49:R49"/>
    <mergeCell ref="U49:V49"/>
    <mergeCell ref="U50:V50"/>
    <mergeCell ref="Q50:R50"/>
    <mergeCell ref="Q51:R51"/>
    <mergeCell ref="Q52:R52"/>
    <mergeCell ref="Q53:S54"/>
    <mergeCell ref="Q55:S55"/>
    <mergeCell ref="Q56:S56"/>
    <mergeCell ref="Q57:R57"/>
    <mergeCell ref="U61:V61"/>
    <mergeCell ref="U62:V62"/>
    <mergeCell ref="U63:V63"/>
    <mergeCell ref="U64:V64"/>
    <mergeCell ref="U65:V65"/>
    <mergeCell ref="U51:V51"/>
    <mergeCell ref="U52:V52"/>
    <mergeCell ref="U53:W54"/>
    <mergeCell ref="U55:W55"/>
    <mergeCell ref="U56:W56"/>
    <mergeCell ref="U59:V59"/>
    <mergeCell ref="U60:V60"/>
    <mergeCell ref="Q66:R66"/>
    <mergeCell ref="Q67:R67"/>
    <mergeCell ref="Q68:R68"/>
    <mergeCell ref="Q69:R69"/>
    <mergeCell ref="Q59:R59"/>
    <mergeCell ref="Q60:R60"/>
    <mergeCell ref="Q61:R61"/>
    <mergeCell ref="Q62:R62"/>
    <mergeCell ref="Q63:R63"/>
    <mergeCell ref="Q64:R64"/>
    <mergeCell ref="Q65:R65"/>
    <mergeCell ref="A3:C3"/>
    <mergeCell ref="E3:I3"/>
    <mergeCell ref="K3:O3"/>
    <mergeCell ref="Q3:V3"/>
    <mergeCell ref="A5:B5"/>
    <mergeCell ref="F5:H5"/>
    <mergeCell ref="L5:M5"/>
    <mergeCell ref="Q5:R5"/>
    <mergeCell ref="S5:U5"/>
    <mergeCell ref="V5:X5"/>
    <mergeCell ref="L6:M6"/>
    <mergeCell ref="Q6:R6"/>
    <mergeCell ref="S6:U6"/>
    <mergeCell ref="V6:X6"/>
    <mergeCell ref="S11:T11"/>
    <mergeCell ref="S12:T12"/>
    <mergeCell ref="Q24:S25"/>
    <mergeCell ref="U24:W25"/>
    <mergeCell ref="Q26:S26"/>
    <mergeCell ref="U26:W26"/>
    <mergeCell ref="S7:T7"/>
    <mergeCell ref="S8:T8"/>
    <mergeCell ref="S9:T9"/>
    <mergeCell ref="V9:W9"/>
    <mergeCell ref="S10:T10"/>
    <mergeCell ref="V10:W10"/>
    <mergeCell ref="V11:W11"/>
    <mergeCell ref="V12:W12"/>
    <mergeCell ref="R17:W17"/>
    <mergeCell ref="E20:I20"/>
    <mergeCell ref="F22:H22"/>
    <mergeCell ref="R22:W22"/>
    <mergeCell ref="Y22:Z22"/>
    <mergeCell ref="A27:C27"/>
    <mergeCell ref="U34:V34"/>
    <mergeCell ref="U35:V35"/>
    <mergeCell ref="E36:I36"/>
    <mergeCell ref="Q36:R36"/>
    <mergeCell ref="U36:V36"/>
    <mergeCell ref="F38:H38"/>
    <mergeCell ref="L38:M38"/>
    <mergeCell ref="Q46:R46"/>
    <mergeCell ref="U46:V46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37.57"/>
    <col customWidth="1" min="2" max="2" width="11.14"/>
    <col customWidth="1" min="4" max="4" width="32.14"/>
    <col customWidth="1" min="5" max="5" width="13.57"/>
    <col customWidth="1" min="6" max="6" width="17.29"/>
  </cols>
  <sheetData>
    <row r="4">
      <c r="A4" s="10" t="s">
        <v>6</v>
      </c>
    </row>
    <row r="5">
      <c r="A5" s="15" t="s">
        <v>11</v>
      </c>
      <c r="B5" s="17"/>
      <c r="D5" s="18" t="s">
        <v>19</v>
      </c>
      <c r="E5" s="19"/>
      <c r="F5" s="20"/>
    </row>
    <row r="6">
      <c r="A6" s="24" t="s">
        <v>22</v>
      </c>
      <c r="B6" s="17"/>
      <c r="D6" s="28" t="s">
        <v>26</v>
      </c>
      <c r="E6" s="31" t="s">
        <v>31</v>
      </c>
      <c r="F6" s="34" t="s">
        <v>34</v>
      </c>
    </row>
    <row r="7">
      <c r="A7" s="35" t="s">
        <v>41</v>
      </c>
      <c r="B7" s="36">
        <v>741.0</v>
      </c>
      <c r="C7" s="39" t="str">
        <f>CHAR(8592)</f>
        <v>←</v>
      </c>
      <c r="D7" s="41" t="s">
        <v>49</v>
      </c>
      <c r="E7" s="46">
        <f>B26</f>
        <v>12.05420011</v>
      </c>
      <c r="F7" s="51">
        <f>E7*2</f>
        <v>24.10840022</v>
      </c>
    </row>
    <row r="8">
      <c r="A8" s="52" t="s">
        <v>61</v>
      </c>
      <c r="B8" s="54">
        <v>300.0</v>
      </c>
      <c r="D8" s="41" t="s">
        <v>64</v>
      </c>
      <c r="E8" s="46">
        <v>1.189779864426893</v>
      </c>
      <c r="F8" s="53">
        <v>1.189779864426893</v>
      </c>
    </row>
    <row r="9">
      <c r="A9" s="58" t="s">
        <v>67</v>
      </c>
      <c r="B9" s="60">
        <v>0.3223</v>
      </c>
      <c r="D9" s="41" t="s">
        <v>69</v>
      </c>
      <c r="E9" s="46">
        <v>0.31</v>
      </c>
      <c r="F9" s="53">
        <v>0.31</v>
      </c>
    </row>
    <row r="10">
      <c r="A10" s="63" t="s">
        <v>72</v>
      </c>
      <c r="B10" s="68">
        <f>(B7*(1-B9))+(B8*B9)</f>
        <v>598.8657</v>
      </c>
      <c r="D10" s="41" t="s">
        <v>80</v>
      </c>
      <c r="E10" s="46">
        <v>0.7999999999999999</v>
      </c>
      <c r="F10" s="53">
        <v>0.7999999999999999</v>
      </c>
    </row>
    <row r="11">
      <c r="A11" s="71" t="s">
        <v>81</v>
      </c>
      <c r="B11" s="73">
        <f>B10*0.2</f>
        <v>119.77314</v>
      </c>
      <c r="D11" s="41" t="s">
        <v>83</v>
      </c>
      <c r="E11" s="46">
        <v>0.6491819185570205</v>
      </c>
      <c r="F11" s="53">
        <v>0.6491819185570205</v>
      </c>
    </row>
    <row r="12">
      <c r="A12" s="75" t="s">
        <v>10</v>
      </c>
      <c r="B12" s="76">
        <f>60*454</f>
        <v>27240</v>
      </c>
      <c r="D12" s="79" t="s">
        <v>86</v>
      </c>
      <c r="E12" s="83">
        <f t="shared" ref="E12:F12" si="1">SUM(E7:E11)</f>
        <v>15.00316189</v>
      </c>
      <c r="F12" s="84">
        <f t="shared" si="1"/>
        <v>27.057362</v>
      </c>
    </row>
    <row r="13">
      <c r="A13" s="86" t="s">
        <v>92</v>
      </c>
      <c r="B13" s="91">
        <f>B11/454</f>
        <v>0.263817489</v>
      </c>
    </row>
    <row r="14">
      <c r="A14" s="86" t="s">
        <v>40</v>
      </c>
      <c r="B14" s="91">
        <f>B13*B12</f>
        <v>7186.3884</v>
      </c>
    </row>
    <row r="15">
      <c r="A15" s="86" t="s">
        <v>48</v>
      </c>
      <c r="B15" s="91">
        <v>140.0</v>
      </c>
    </row>
    <row r="16">
      <c r="A16" s="86" t="s">
        <v>100</v>
      </c>
      <c r="B16" s="91">
        <v>0.735</v>
      </c>
    </row>
    <row r="17">
      <c r="A17" s="86" t="s">
        <v>102</v>
      </c>
      <c r="B17" s="91">
        <v>40.0</v>
      </c>
    </row>
    <row r="18">
      <c r="A18" s="94" t="s">
        <v>103</v>
      </c>
      <c r="B18" s="95">
        <v>80.0</v>
      </c>
    </row>
    <row r="19">
      <c r="A19" s="97" t="s">
        <v>108</v>
      </c>
      <c r="B19" s="98">
        <v>0.028</v>
      </c>
    </row>
    <row r="20">
      <c r="A20" s="100" t="s">
        <v>110</v>
      </c>
      <c r="B20" s="101">
        <f>B12*B19</f>
        <v>762.72</v>
      </c>
    </row>
    <row r="21">
      <c r="A21" s="100" t="s">
        <v>113</v>
      </c>
      <c r="B21" s="105">
        <f>B14+B15+B16+B17</f>
        <v>7367.1234</v>
      </c>
    </row>
    <row r="22">
      <c r="A22" s="108" t="s">
        <v>120</v>
      </c>
      <c r="B22" s="111">
        <f>B21/B20</f>
        <v>9.659014317</v>
      </c>
    </row>
    <row r="23">
      <c r="A23" s="112" t="s">
        <v>121</v>
      </c>
      <c r="B23" s="113">
        <v>0.81</v>
      </c>
    </row>
    <row r="24">
      <c r="A24" s="114" t="s">
        <v>126</v>
      </c>
      <c r="B24" s="116">
        <f>B20*B23</f>
        <v>617.8032</v>
      </c>
    </row>
    <row r="25">
      <c r="A25" s="114" t="s">
        <v>131</v>
      </c>
      <c r="B25" s="119">
        <f>B14+B15+B16+B17+B18</f>
        <v>7447.1234</v>
      </c>
    </row>
    <row r="26">
      <c r="A26" s="120" t="s">
        <v>135</v>
      </c>
      <c r="B26" s="123">
        <f>B25/B24</f>
        <v>12.05420011</v>
      </c>
    </row>
    <row r="27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>
      <c r="A28" s="10" t="s">
        <v>147</v>
      </c>
    </row>
    <row r="30">
      <c r="A30" s="15" t="s">
        <v>11</v>
      </c>
      <c r="B30" s="17"/>
      <c r="D30" s="18" t="s">
        <v>19</v>
      </c>
      <c r="E30" s="19"/>
      <c r="F30" s="20"/>
    </row>
    <row r="31">
      <c r="A31" s="24" t="s">
        <v>22</v>
      </c>
      <c r="B31" s="17"/>
      <c r="D31" s="28" t="s">
        <v>26</v>
      </c>
      <c r="E31" s="31" t="s">
        <v>31</v>
      </c>
      <c r="F31" s="34" t="s">
        <v>34</v>
      </c>
    </row>
    <row r="32">
      <c r="A32" s="35" t="s">
        <v>41</v>
      </c>
      <c r="B32" s="36">
        <v>970.0</v>
      </c>
      <c r="C32" s="39"/>
      <c r="D32" s="41" t="s">
        <v>49</v>
      </c>
      <c r="E32" s="46">
        <f>B51</f>
        <v>12.05489774</v>
      </c>
      <c r="F32" s="51">
        <f>E32*2</f>
        <v>24.10979548</v>
      </c>
    </row>
    <row r="33">
      <c r="A33" s="52" t="s">
        <v>61</v>
      </c>
      <c r="B33" s="54">
        <v>300.0</v>
      </c>
      <c r="D33" s="41" t="s">
        <v>64</v>
      </c>
      <c r="E33" s="46">
        <v>1.189779864426893</v>
      </c>
      <c r="F33" s="53">
        <v>1.189779864426893</v>
      </c>
    </row>
    <row r="34">
      <c r="A34" s="58" t="s">
        <v>67</v>
      </c>
      <c r="B34" s="60">
        <v>0.3223</v>
      </c>
      <c r="D34" s="41" t="s">
        <v>69</v>
      </c>
      <c r="E34" s="46">
        <v>0.31</v>
      </c>
      <c r="F34" s="53">
        <v>0.31</v>
      </c>
    </row>
    <row r="35">
      <c r="A35" s="63" t="s">
        <v>72</v>
      </c>
      <c r="B35" s="68">
        <f>(B32*(1-B34))+(B33*B34)</f>
        <v>754.059</v>
      </c>
      <c r="D35" s="41" t="s">
        <v>80</v>
      </c>
      <c r="E35" s="46">
        <v>0.7999999999999999</v>
      </c>
      <c r="F35" s="53">
        <v>0.7999999999999999</v>
      </c>
    </row>
    <row r="36">
      <c r="A36" s="71" t="s">
        <v>81</v>
      </c>
      <c r="B36" s="73">
        <f>B35*0.2</f>
        <v>150.8118</v>
      </c>
      <c r="D36" s="41" t="s">
        <v>83</v>
      </c>
      <c r="E36" s="46">
        <v>0.6491819185570205</v>
      </c>
      <c r="F36" s="53">
        <v>0.6491819185570205</v>
      </c>
    </row>
    <row r="37">
      <c r="A37" s="75" t="s">
        <v>10</v>
      </c>
      <c r="B37" s="76">
        <f>60*454</f>
        <v>27240</v>
      </c>
      <c r="D37" s="79" t="s">
        <v>86</v>
      </c>
      <c r="E37" s="83">
        <f t="shared" ref="E37:F37" si="2">SUM(E32:E36)</f>
        <v>15.00385952</v>
      </c>
      <c r="F37" s="84">
        <f t="shared" si="2"/>
        <v>27.05875726</v>
      </c>
    </row>
    <row r="38">
      <c r="A38" s="86" t="s">
        <v>92</v>
      </c>
      <c r="B38" s="91">
        <f>B36/454</f>
        <v>0.3321845815</v>
      </c>
    </row>
    <row r="39">
      <c r="A39" s="86" t="s">
        <v>40</v>
      </c>
      <c r="B39" s="91">
        <f>B38*B37</f>
        <v>9048.708</v>
      </c>
    </row>
    <row r="40">
      <c r="A40" s="86" t="s">
        <v>48</v>
      </c>
      <c r="B40" s="91">
        <v>140.0</v>
      </c>
    </row>
    <row r="41">
      <c r="A41" s="86" t="s">
        <v>100</v>
      </c>
      <c r="B41" s="91">
        <v>0.735</v>
      </c>
    </row>
    <row r="42">
      <c r="A42" s="86" t="s">
        <v>102</v>
      </c>
      <c r="B42" s="91">
        <v>40.0</v>
      </c>
    </row>
    <row r="43">
      <c r="A43" s="94" t="s">
        <v>103</v>
      </c>
      <c r="B43" s="95">
        <v>80.0</v>
      </c>
    </row>
    <row r="44">
      <c r="A44" s="97" t="s">
        <v>108</v>
      </c>
      <c r="B44" s="98">
        <v>0.035</v>
      </c>
    </row>
    <row r="45">
      <c r="A45" s="100" t="s">
        <v>110</v>
      </c>
      <c r="B45" s="101">
        <f>B37*B44</f>
        <v>953.4</v>
      </c>
    </row>
    <row r="46">
      <c r="A46" s="100" t="s">
        <v>113</v>
      </c>
      <c r="B46" s="105">
        <f>B39+B40+B41+B42</f>
        <v>9229.443</v>
      </c>
    </row>
    <row r="47">
      <c r="A47" s="108" t="s">
        <v>120</v>
      </c>
      <c r="B47" s="111">
        <f>B46/B45</f>
        <v>9.680556954</v>
      </c>
    </row>
    <row r="48">
      <c r="A48" s="112" t="s">
        <v>121</v>
      </c>
      <c r="B48" s="113">
        <v>0.81</v>
      </c>
    </row>
    <row r="49">
      <c r="A49" s="114" t="s">
        <v>126</v>
      </c>
      <c r="B49" s="116">
        <f>B45*B48</f>
        <v>772.254</v>
      </c>
    </row>
    <row r="50">
      <c r="A50" s="114" t="s">
        <v>131</v>
      </c>
      <c r="B50" s="119">
        <f>B39+B40+B41+B42+B43</f>
        <v>9309.443</v>
      </c>
    </row>
    <row r="51">
      <c r="A51" s="120" t="s">
        <v>135</v>
      </c>
      <c r="B51" s="123">
        <f>B50/B49</f>
        <v>12.05489774</v>
      </c>
    </row>
    <row r="53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8">
      <c r="A58" s="10" t="s">
        <v>218</v>
      </c>
    </row>
    <row r="60">
      <c r="A60" s="15" t="s">
        <v>11</v>
      </c>
      <c r="B60" s="17"/>
      <c r="D60" s="18" t="s">
        <v>19</v>
      </c>
      <c r="E60" s="19"/>
      <c r="F60" s="20"/>
    </row>
    <row r="61">
      <c r="A61" s="24" t="s">
        <v>22</v>
      </c>
      <c r="B61" s="17"/>
      <c r="D61" s="28" t="s">
        <v>26</v>
      </c>
      <c r="E61" s="31" t="s">
        <v>31</v>
      </c>
      <c r="F61" s="34" t="s">
        <v>34</v>
      </c>
    </row>
    <row r="62">
      <c r="A62" s="35" t="s">
        <v>41</v>
      </c>
      <c r="B62" s="36">
        <v>1133.0</v>
      </c>
      <c r="C62" s="182"/>
      <c r="D62" s="41" t="s">
        <v>49</v>
      </c>
      <c r="E62" s="46">
        <f>B81</f>
        <v>12.04998119</v>
      </c>
      <c r="F62" s="51">
        <f>E62*2</f>
        <v>24.09996238</v>
      </c>
    </row>
    <row r="63">
      <c r="A63" s="52" t="s">
        <v>61</v>
      </c>
      <c r="B63" s="54">
        <v>300.0</v>
      </c>
      <c r="D63" s="41" t="s">
        <v>64</v>
      </c>
      <c r="E63" s="46">
        <v>1.189779864426893</v>
      </c>
      <c r="F63" s="53">
        <v>1.189779864426893</v>
      </c>
    </row>
    <row r="64">
      <c r="A64" s="58" t="s">
        <v>67</v>
      </c>
      <c r="B64" s="60">
        <v>0.3223</v>
      </c>
      <c r="D64" s="41" t="s">
        <v>69</v>
      </c>
      <c r="E64" s="46">
        <v>0.31</v>
      </c>
      <c r="F64" s="53">
        <v>0.31</v>
      </c>
    </row>
    <row r="65">
      <c r="A65" s="63" t="s">
        <v>72</v>
      </c>
      <c r="B65" s="68">
        <f>(B62*(1-B64))+(B63*B64)</f>
        <v>864.5241</v>
      </c>
      <c r="D65" s="41" t="s">
        <v>80</v>
      </c>
      <c r="E65" s="46">
        <v>0.7999999999999999</v>
      </c>
      <c r="F65" s="53">
        <v>0.7999999999999999</v>
      </c>
    </row>
    <row r="66">
      <c r="A66" s="71" t="s">
        <v>81</v>
      </c>
      <c r="B66" s="73">
        <f>B65*0.2</f>
        <v>172.90482</v>
      </c>
      <c r="D66" s="41" t="s">
        <v>83</v>
      </c>
      <c r="E66" s="46">
        <v>0.6491819185570205</v>
      </c>
      <c r="F66" s="53">
        <v>0.6491819185570205</v>
      </c>
    </row>
    <row r="67">
      <c r="A67" s="75" t="s">
        <v>10</v>
      </c>
      <c r="B67" s="76">
        <f>60*454</f>
        <v>27240</v>
      </c>
      <c r="D67" s="79" t="s">
        <v>86</v>
      </c>
      <c r="E67" s="83">
        <f t="shared" ref="E67:F67" si="3">SUM(E62:E66)</f>
        <v>14.99894297</v>
      </c>
      <c r="F67" s="84">
        <f t="shared" si="3"/>
        <v>27.04892417</v>
      </c>
    </row>
    <row r="68">
      <c r="A68" s="86" t="s">
        <v>92</v>
      </c>
      <c r="B68" s="91">
        <f>B66/454</f>
        <v>0.3808476211</v>
      </c>
    </row>
    <row r="69">
      <c r="A69" s="86" t="s">
        <v>40</v>
      </c>
      <c r="B69" s="91">
        <f>B68*B67</f>
        <v>10374.2892</v>
      </c>
    </row>
    <row r="70">
      <c r="A70" s="86" t="s">
        <v>48</v>
      </c>
      <c r="B70" s="91">
        <v>140.0</v>
      </c>
    </row>
    <row r="71">
      <c r="A71" s="86" t="s">
        <v>100</v>
      </c>
      <c r="B71" s="91">
        <v>0.735</v>
      </c>
    </row>
    <row r="72">
      <c r="A72" s="86" t="s">
        <v>102</v>
      </c>
      <c r="B72" s="91">
        <v>40.0</v>
      </c>
    </row>
    <row r="73">
      <c r="A73" s="94" t="s">
        <v>103</v>
      </c>
      <c r="B73" s="95">
        <v>80.0</v>
      </c>
    </row>
    <row r="74">
      <c r="A74" s="97" t="s">
        <v>108</v>
      </c>
      <c r="B74" s="98">
        <v>0.04</v>
      </c>
    </row>
    <row r="75">
      <c r="A75" s="100" t="s">
        <v>110</v>
      </c>
      <c r="B75" s="101">
        <f>B67*B74</f>
        <v>1089.6</v>
      </c>
    </row>
    <row r="76">
      <c r="A76" s="100" t="s">
        <v>113</v>
      </c>
      <c r="B76" s="105">
        <f>B69+B70+B71+B72</f>
        <v>10555.0242</v>
      </c>
    </row>
    <row r="77">
      <c r="A77" s="108" t="s">
        <v>120</v>
      </c>
      <c r="B77" s="111">
        <f>B76/B75</f>
        <v>9.687063326</v>
      </c>
    </row>
    <row r="78">
      <c r="A78" s="112" t="s">
        <v>121</v>
      </c>
      <c r="B78" s="113">
        <v>0.81</v>
      </c>
    </row>
    <row r="79">
      <c r="A79" s="114" t="s">
        <v>126</v>
      </c>
      <c r="B79" s="116">
        <f>B75*B78</f>
        <v>882.576</v>
      </c>
    </row>
    <row r="80">
      <c r="A80" s="114" t="s">
        <v>131</v>
      </c>
      <c r="B80" s="119">
        <f>B69+B70+B71+B72+B73</f>
        <v>10635.0242</v>
      </c>
    </row>
    <row r="81">
      <c r="A81" s="120" t="s">
        <v>135</v>
      </c>
      <c r="B81" s="123">
        <f>B80/B79</f>
        <v>12.04998119</v>
      </c>
    </row>
  </sheetData>
  <mergeCells count="9">
    <mergeCell ref="A60:B60"/>
    <mergeCell ref="A61:B61"/>
    <mergeCell ref="A5:B5"/>
    <mergeCell ref="D5:E5"/>
    <mergeCell ref="A6:B6"/>
    <mergeCell ref="A30:B30"/>
    <mergeCell ref="D30:E30"/>
    <mergeCell ref="A31:B31"/>
    <mergeCell ref="D60:E6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25.0"/>
    <col customWidth="1" min="2" max="2" width="10.14"/>
    <col customWidth="1" min="3" max="3" width="14.0"/>
    <col customWidth="1" min="4" max="4" width="27.71"/>
    <col customWidth="1" min="5" max="5" width="31.29"/>
    <col customWidth="1" min="6" max="6" width="10.29"/>
    <col customWidth="1" min="7" max="7" width="34.86"/>
    <col customWidth="1" min="8" max="8" width="12.14"/>
    <col customWidth="1" min="9" max="9" width="25.29"/>
    <col customWidth="1" min="10" max="10" width="11.86"/>
    <col customWidth="1" min="11" max="11" width="10.29"/>
    <col customWidth="1" min="12" max="12" width="7.71"/>
    <col customWidth="1" min="13" max="14" width="8.71"/>
    <col customWidth="1" min="15" max="15" width="30.14"/>
    <col customWidth="1" min="16" max="16" width="14.43"/>
    <col customWidth="1" min="17" max="17" width="17.57"/>
    <col customWidth="1" min="18" max="18" width="9.14"/>
    <col customWidth="1" min="19" max="26" width="8.71"/>
  </cols>
  <sheetData>
    <row r="1" ht="14.25" customHeight="1">
      <c r="A1" s="1" t="s">
        <v>0</v>
      </c>
      <c r="G1" s="2" t="s">
        <v>1</v>
      </c>
      <c r="H1" s="4"/>
      <c r="O1" s="6" t="s">
        <v>3</v>
      </c>
    </row>
    <row r="2" ht="14.25" customHeight="1">
      <c r="A2" s="9" t="s">
        <v>5</v>
      </c>
      <c r="B2" s="11">
        <v>8.0</v>
      </c>
      <c r="C2" s="9" t="s">
        <v>7</v>
      </c>
      <c r="G2" s="14" t="s">
        <v>10</v>
      </c>
      <c r="H2" s="16">
        <v>6810.0</v>
      </c>
      <c r="O2" s="12" t="s">
        <v>16</v>
      </c>
      <c r="P2" s="23">
        <f>(B4*B8*B18)+(B15*B39)+(B14*B17)</f>
        <v>3065.56</v>
      </c>
    </row>
    <row r="3" ht="14.25" customHeight="1">
      <c r="A3" s="25" t="s">
        <v>24</v>
      </c>
      <c r="B3" s="25">
        <v>2.5</v>
      </c>
      <c r="C3" s="25" t="s">
        <v>27</v>
      </c>
      <c r="G3" s="14" t="s">
        <v>28</v>
      </c>
      <c r="H3" s="32">
        <f>300/454</f>
        <v>0.6607929515</v>
      </c>
      <c r="O3" s="6" t="s">
        <v>35</v>
      </c>
    </row>
    <row r="4" ht="14.25" customHeight="1">
      <c r="A4" s="25" t="s">
        <v>36</v>
      </c>
      <c r="B4" s="25">
        <v>1.0</v>
      </c>
      <c r="C4" s="25" t="s">
        <v>39</v>
      </c>
      <c r="G4" s="14" t="s">
        <v>40</v>
      </c>
      <c r="H4" s="32">
        <f>H3*H2</f>
        <v>4500</v>
      </c>
      <c r="I4" s="22" t="s">
        <v>42</v>
      </c>
      <c r="J4" s="19"/>
      <c r="K4" s="17"/>
      <c r="O4" s="12" t="s">
        <v>43</v>
      </c>
      <c r="P4" s="23">
        <f>B18*P6</f>
        <v>140</v>
      </c>
      <c r="Q4" s="12"/>
    </row>
    <row r="5" ht="14.25" customHeight="1">
      <c r="A5" s="25" t="s">
        <v>44</v>
      </c>
      <c r="B5" s="25">
        <v>4.0</v>
      </c>
      <c r="C5" s="25" t="s">
        <v>46</v>
      </c>
      <c r="G5" s="14" t="s">
        <v>48</v>
      </c>
      <c r="H5" s="32">
        <f>(B18*B3)</f>
        <v>50</v>
      </c>
      <c r="I5" s="28" t="s">
        <v>45</v>
      </c>
      <c r="J5" s="31" t="s">
        <v>31</v>
      </c>
      <c r="K5" s="34" t="s">
        <v>50</v>
      </c>
      <c r="O5" s="25" t="s">
        <v>51</v>
      </c>
      <c r="P5" s="25">
        <v>7.0</v>
      </c>
      <c r="Q5" s="25" t="s">
        <v>53</v>
      </c>
    </row>
    <row r="6" ht="14.25" customHeight="1">
      <c r="A6" s="12" t="s">
        <v>54</v>
      </c>
      <c r="B6" s="12">
        <f>(B5*52)-B7</f>
        <v>198</v>
      </c>
      <c r="C6" s="12" t="s">
        <v>46</v>
      </c>
      <c r="G6" s="14" t="s">
        <v>56</v>
      </c>
      <c r="H6" s="32">
        <f>B17*B14</f>
        <v>13.72</v>
      </c>
      <c r="I6" s="41" t="s">
        <v>59</v>
      </c>
      <c r="J6" s="46">
        <f>H22</f>
        <v>6.338720311</v>
      </c>
      <c r="K6" s="53">
        <f>H22*3.5</f>
        <v>22.18552109</v>
      </c>
      <c r="O6" s="12" t="s">
        <v>63</v>
      </c>
      <c r="P6" s="56">
        <f>P5*1</f>
        <v>7</v>
      </c>
      <c r="Q6" s="12" t="s">
        <v>66</v>
      </c>
    </row>
    <row r="7" ht="14.25" customHeight="1">
      <c r="A7" s="59" t="s">
        <v>68</v>
      </c>
      <c r="B7" s="59">
        <v>10.0</v>
      </c>
      <c r="C7" s="59" t="s">
        <v>46</v>
      </c>
      <c r="G7" s="14" t="s">
        <v>70</v>
      </c>
      <c r="H7" s="55">
        <v>120.0</v>
      </c>
      <c r="I7" s="41" t="s">
        <v>64</v>
      </c>
      <c r="J7" s="46">
        <f>B24+D33</f>
        <v>1.189779864</v>
      </c>
      <c r="K7" s="53">
        <f>B24+D33</f>
        <v>1.189779864</v>
      </c>
      <c r="O7" s="25" t="s">
        <v>74</v>
      </c>
      <c r="P7" s="48">
        <v>0.0</v>
      </c>
      <c r="Q7" s="25"/>
    </row>
    <row r="8" ht="14.25" customHeight="1">
      <c r="A8" s="25" t="s">
        <v>75</v>
      </c>
      <c r="B8" s="25">
        <v>7.0</v>
      </c>
      <c r="C8" s="25" t="s">
        <v>76</v>
      </c>
      <c r="G8" s="14" t="s">
        <v>78</v>
      </c>
      <c r="H8" s="32">
        <f>B18*9</f>
        <v>180</v>
      </c>
      <c r="I8" s="41" t="s">
        <v>69</v>
      </c>
      <c r="J8" s="46">
        <f t="shared" ref="J8:J9" si="1">F23</f>
        <v>0.31</v>
      </c>
      <c r="K8" s="53">
        <f>F23+(F23*0.25)</f>
        <v>0.3875</v>
      </c>
      <c r="O8" s="74" t="s">
        <v>82</v>
      </c>
      <c r="P8" s="23">
        <f>P2+P4+P7</f>
        <v>3205.56</v>
      </c>
      <c r="Q8" s="12"/>
    </row>
    <row r="9" ht="14.25" customHeight="1">
      <c r="A9" s="12" t="s">
        <v>85</v>
      </c>
      <c r="B9" s="78">
        <f>(B8-2)/B3</f>
        <v>2</v>
      </c>
      <c r="C9" s="12" t="s">
        <v>88</v>
      </c>
      <c r="G9" s="81" t="s">
        <v>90</v>
      </c>
      <c r="H9" s="82">
        <v>0.11</v>
      </c>
      <c r="I9" s="41" t="s">
        <v>80</v>
      </c>
      <c r="J9" s="46">
        <f t="shared" si="1"/>
        <v>0.1262626263</v>
      </c>
      <c r="K9" s="53">
        <f>F24</f>
        <v>0.1262626263</v>
      </c>
      <c r="O9" s="25" t="s">
        <v>91</v>
      </c>
      <c r="P9" s="85">
        <v>0.75</v>
      </c>
      <c r="Q9" s="25"/>
      <c r="R9" s="88">
        <v>11.85</v>
      </c>
    </row>
    <row r="10" ht="14.25" customHeight="1">
      <c r="A10" s="12" t="s">
        <v>94</v>
      </c>
      <c r="B10" s="12">
        <f>B9*B6</f>
        <v>396</v>
      </c>
      <c r="C10" s="12" t="s">
        <v>96</v>
      </c>
      <c r="G10" s="92" t="s">
        <v>98</v>
      </c>
      <c r="H10" s="93">
        <f>H2*H9</f>
        <v>749.1</v>
      </c>
      <c r="I10" s="41" t="s">
        <v>99</v>
      </c>
      <c r="J10" s="46">
        <f>B27/H20</f>
        <v>1.026873274</v>
      </c>
      <c r="K10" s="53">
        <f>B27/H20</f>
        <v>1.026873274</v>
      </c>
      <c r="O10" s="12" t="s">
        <v>101</v>
      </c>
      <c r="P10" s="45">
        <f>P11/B39</f>
        <v>0.0748125</v>
      </c>
      <c r="Q10" s="12"/>
    </row>
    <row r="11" ht="14.25" customHeight="1">
      <c r="A11" s="25" t="s">
        <v>104</v>
      </c>
      <c r="B11" s="90">
        <v>0.75</v>
      </c>
      <c r="C11" s="25" t="s">
        <v>105</v>
      </c>
      <c r="G11" s="96" t="s">
        <v>107</v>
      </c>
      <c r="H11" s="99">
        <f>(H4+H5+H6)/H10</f>
        <v>6.092270725</v>
      </c>
      <c r="I11" s="41" t="s">
        <v>83</v>
      </c>
      <c r="J11" s="46">
        <f>B28/H20</f>
        <v>0.7722087017</v>
      </c>
      <c r="K11" s="53">
        <f>J11</f>
        <v>0.7722087017</v>
      </c>
      <c r="O11" s="12" t="s">
        <v>112</v>
      </c>
      <c r="P11" s="12">
        <f>B48*P9</f>
        <v>1.197</v>
      </c>
      <c r="Q11" s="12" t="s">
        <v>115</v>
      </c>
    </row>
    <row r="12" ht="14.25" customHeight="1">
      <c r="A12" s="25" t="s">
        <v>116</v>
      </c>
      <c r="B12" s="103">
        <v>0.133</v>
      </c>
      <c r="C12" s="25" t="s">
        <v>118</v>
      </c>
      <c r="G12" s="104" t="s">
        <v>119</v>
      </c>
      <c r="H12" s="106">
        <v>0.35</v>
      </c>
      <c r="I12" s="107" t="s">
        <v>86</v>
      </c>
      <c r="J12" s="109">
        <f t="shared" ref="J12:K12" si="2">SUM(J6:J9)</f>
        <v>7.964762801</v>
      </c>
      <c r="K12" s="110">
        <f t="shared" si="2"/>
        <v>23.88906358</v>
      </c>
      <c r="O12" s="12"/>
      <c r="P12" s="12">
        <f>P11*454</f>
        <v>543.438</v>
      </c>
      <c r="Q12" s="12" t="s">
        <v>122</v>
      </c>
    </row>
    <row r="13" ht="14.25" customHeight="1">
      <c r="A13" s="12" t="s">
        <v>124</v>
      </c>
      <c r="B13" s="115">
        <f>B12*B11</f>
        <v>0.09975</v>
      </c>
      <c r="C13" s="12" t="s">
        <v>129</v>
      </c>
      <c r="G13" s="117" t="s">
        <v>130</v>
      </c>
      <c r="H13" s="118">
        <f>H10*H12</f>
        <v>262.185</v>
      </c>
      <c r="O13" s="12" t="s">
        <v>133</v>
      </c>
      <c r="P13" s="23">
        <f>P8/P12</f>
        <v>5.898667373</v>
      </c>
      <c r="Q13" s="12"/>
    </row>
    <row r="14" ht="14.25" customHeight="1">
      <c r="A14" s="122" t="s">
        <v>136</v>
      </c>
      <c r="B14" s="122">
        <v>4.0</v>
      </c>
      <c r="C14" s="122" t="s">
        <v>139</v>
      </c>
      <c r="G14" s="117" t="s">
        <v>140</v>
      </c>
      <c r="H14" s="127">
        <f>H13*(($H$4+$H$5+$H$6)/$H$10)</f>
        <v>1597.302</v>
      </c>
    </row>
    <row r="15" ht="14.25" customHeight="1">
      <c r="A15" s="128" t="s">
        <v>142</v>
      </c>
      <c r="B15" s="129">
        <v>181.99</v>
      </c>
      <c r="C15" s="131" t="s">
        <v>145</v>
      </c>
      <c r="G15" s="117" t="s">
        <v>120</v>
      </c>
      <c r="H15" s="127">
        <f>H14/H13</f>
        <v>6.092270725</v>
      </c>
      <c r="O15" s="6" t="s">
        <v>148</v>
      </c>
    </row>
    <row r="16" ht="14.25" customHeight="1">
      <c r="A16" s="134" t="s">
        <v>149</v>
      </c>
      <c r="B16" s="135">
        <v>15.0</v>
      </c>
      <c r="C16" s="134" t="s">
        <v>57</v>
      </c>
      <c r="G16" s="136" t="s">
        <v>151</v>
      </c>
      <c r="H16" s="138">
        <f>H13*0.877</f>
        <v>229.936245</v>
      </c>
      <c r="O16" s="25" t="s">
        <v>152</v>
      </c>
      <c r="P16" s="25">
        <v>0.877</v>
      </c>
    </row>
    <row r="17" ht="14.25" customHeight="1">
      <c r="A17" s="25" t="s">
        <v>154</v>
      </c>
      <c r="B17" s="48">
        <v>3.43</v>
      </c>
      <c r="C17" s="25" t="s">
        <v>155</v>
      </c>
      <c r="G17" s="117" t="s">
        <v>156</v>
      </c>
      <c r="H17" s="127">
        <f>H14+$H$8</f>
        <v>1777.302</v>
      </c>
      <c r="O17" s="12"/>
      <c r="P17" s="142">
        <f>P12*0.877</f>
        <v>476.595126</v>
      </c>
      <c r="Q17" s="12" t="s">
        <v>122</v>
      </c>
    </row>
    <row r="18" ht="14.25" customHeight="1">
      <c r="A18" s="25" t="s">
        <v>160</v>
      </c>
      <c r="B18" s="146">
        <v>20.0</v>
      </c>
      <c r="C18" s="25" t="s">
        <v>162</v>
      </c>
      <c r="G18" s="117" t="s">
        <v>120</v>
      </c>
      <c r="H18" s="127">
        <f>H17/H16</f>
        <v>7.729542596</v>
      </c>
      <c r="O18" s="147"/>
      <c r="P18" s="148">
        <f>P17/454</f>
        <v>1.049769</v>
      </c>
      <c r="Q18" s="12" t="s">
        <v>115</v>
      </c>
    </row>
    <row r="19" ht="14.25" customHeight="1">
      <c r="G19" s="149" t="s">
        <v>167</v>
      </c>
      <c r="H19" s="153">
        <f>100%-H12</f>
        <v>0.65</v>
      </c>
      <c r="O19" s="154" t="s">
        <v>169</v>
      </c>
      <c r="P19" s="155">
        <f>P8/P17</f>
        <v>6.725960517</v>
      </c>
    </row>
    <row r="20" ht="14.25" customHeight="1">
      <c r="A20" s="88" t="s">
        <v>172</v>
      </c>
      <c r="G20" s="156" t="s">
        <v>173</v>
      </c>
      <c r="H20" s="157">
        <f>H10-H13</f>
        <v>486.915</v>
      </c>
    </row>
    <row r="21" ht="14.25" customHeight="1">
      <c r="A21" s="158" t="s">
        <v>175</v>
      </c>
      <c r="B21" s="46">
        <v>0.4</v>
      </c>
      <c r="D21" s="88" t="s">
        <v>177</v>
      </c>
      <c r="E21" s="88" t="s">
        <v>178</v>
      </c>
      <c r="F21" s="88" t="s">
        <v>179</v>
      </c>
      <c r="G21" s="156" t="s">
        <v>180</v>
      </c>
      <c r="H21" s="162">
        <f>H20*(($H$4+$H$5+$H$6)/$H$10)+$H$7</f>
        <v>3086.418</v>
      </c>
      <c r="O21" s="6" t="s">
        <v>182</v>
      </c>
    </row>
    <row r="22" ht="14.25" customHeight="1">
      <c r="A22" s="88" t="s">
        <v>183</v>
      </c>
      <c r="B22" s="46">
        <v>0.64</v>
      </c>
      <c r="D22" s="88" t="s">
        <v>185</v>
      </c>
      <c r="E22" s="46">
        <v>20.0</v>
      </c>
      <c r="G22" s="165" t="s">
        <v>135</v>
      </c>
      <c r="H22" s="168">
        <f>H21/H20</f>
        <v>6.338720311</v>
      </c>
      <c r="O22" s="9" t="s">
        <v>191</v>
      </c>
      <c r="P22" s="170">
        <v>1.0</v>
      </c>
      <c r="Q22" s="9" t="s">
        <v>194</v>
      </c>
      <c r="R22" s="170">
        <v>0.0</v>
      </c>
    </row>
    <row r="23" ht="14.25" customHeight="1">
      <c r="A23" s="88" t="s">
        <v>197</v>
      </c>
      <c r="B23" s="46">
        <v>0.04</v>
      </c>
      <c r="D23" s="88" t="s">
        <v>200</v>
      </c>
      <c r="E23" s="173">
        <f>60/65</f>
        <v>0.9230769231</v>
      </c>
      <c r="F23" s="46">
        <v>0.31</v>
      </c>
      <c r="O23" s="12" t="s">
        <v>202</v>
      </c>
      <c r="P23" s="142">
        <f>B49*P22</f>
        <v>724.584</v>
      </c>
      <c r="Q23" s="12" t="s">
        <v>203</v>
      </c>
      <c r="R23" s="142">
        <f>B49*R22</f>
        <v>0</v>
      </c>
    </row>
    <row r="24" ht="14.25" customHeight="1">
      <c r="A24" s="88" t="s">
        <v>206</v>
      </c>
      <c r="B24" s="46">
        <f>SUM(B21:B23)</f>
        <v>1.08</v>
      </c>
      <c r="D24" s="88" t="s">
        <v>208</v>
      </c>
      <c r="E24" s="173">
        <v>0.66</v>
      </c>
      <c r="F24" s="46">
        <f>(1/E24)/12</f>
        <v>0.1262626263</v>
      </c>
      <c r="I24" s="177"/>
      <c r="O24" s="12" t="s">
        <v>210</v>
      </c>
      <c r="P24" s="178">
        <f>P9</f>
        <v>0.75</v>
      </c>
    </row>
    <row r="25" ht="14.25" customHeight="1">
      <c r="D25" s="88" t="s">
        <v>86</v>
      </c>
      <c r="F25" s="46">
        <f>SUM(F23:F24)</f>
        <v>0.4362626263</v>
      </c>
      <c r="O25" s="12" t="s">
        <v>212</v>
      </c>
      <c r="P25" s="142">
        <f>P24*P23</f>
        <v>543.438</v>
      </c>
    </row>
    <row r="26" ht="14.25" customHeight="1">
      <c r="A26" s="88" t="s">
        <v>213</v>
      </c>
      <c r="O26" s="12" t="s">
        <v>214</v>
      </c>
      <c r="P26" s="142">
        <f>(P25)*0.877</f>
        <v>476.595126</v>
      </c>
      <c r="Q26" s="12" t="s">
        <v>216</v>
      </c>
      <c r="R26" s="142">
        <f>-((P25)-P26)</f>
        <v>-66.842874</v>
      </c>
      <c r="S26" s="12" t="s">
        <v>219</v>
      </c>
    </row>
    <row r="27" ht="14.25" customHeight="1">
      <c r="A27" s="88" t="s">
        <v>220</v>
      </c>
      <c r="B27" s="46">
        <v>500.0</v>
      </c>
    </row>
    <row r="28" ht="14.25" customHeight="1">
      <c r="A28" s="88" t="s">
        <v>223</v>
      </c>
      <c r="B28" s="46">
        <f>470-(470*0.2)</f>
        <v>376</v>
      </c>
    </row>
    <row r="29" ht="14.25" customHeight="1"/>
    <row r="30" ht="14.25" customHeight="1">
      <c r="A30" s="88" t="s">
        <v>226</v>
      </c>
      <c r="B30" s="88" t="s">
        <v>228</v>
      </c>
      <c r="C30" s="88" t="s">
        <v>229</v>
      </c>
      <c r="D30" s="88" t="s">
        <v>230</v>
      </c>
      <c r="O30" s="6" t="s">
        <v>231</v>
      </c>
    </row>
    <row r="31" ht="14.25" customHeight="1">
      <c r="A31" s="88" t="s">
        <v>232</v>
      </c>
      <c r="B31" s="46">
        <v>14.98</v>
      </c>
      <c r="C31" s="173">
        <f>1135*4</f>
        <v>4540</v>
      </c>
      <c r="D31" s="183">
        <f t="shared" ref="D31:D32" si="3">B31/C31</f>
        <v>0.003299559471</v>
      </c>
      <c r="O31" s="9" t="s">
        <v>191</v>
      </c>
      <c r="P31" s="170">
        <v>1.0</v>
      </c>
      <c r="Q31" s="9" t="s">
        <v>194</v>
      </c>
      <c r="R31" s="170">
        <v>0.0</v>
      </c>
    </row>
    <row r="32" ht="14.25" customHeight="1">
      <c r="A32" s="88" t="s">
        <v>234</v>
      </c>
      <c r="B32" s="46">
        <v>83.8</v>
      </c>
      <c r="C32" s="173">
        <v>787.0</v>
      </c>
      <c r="D32" s="46">
        <f t="shared" si="3"/>
        <v>0.106480305</v>
      </c>
      <c r="O32" s="12" t="s">
        <v>202</v>
      </c>
      <c r="P32" s="142">
        <f>B53*P31</f>
        <v>14491.68</v>
      </c>
      <c r="Q32" s="12" t="s">
        <v>203</v>
      </c>
      <c r="R32" s="142">
        <f>B53*R31</f>
        <v>0</v>
      </c>
    </row>
    <row r="33" ht="14.25" customHeight="1">
      <c r="A33" s="88" t="s">
        <v>236</v>
      </c>
      <c r="D33" s="183">
        <f>SUM(D31:D32)</f>
        <v>0.1097798644</v>
      </c>
      <c r="O33" s="12" t="s">
        <v>210</v>
      </c>
      <c r="P33" s="178">
        <f>P9</f>
        <v>0.75</v>
      </c>
    </row>
    <row r="34" ht="14.25" customHeight="1">
      <c r="O34" s="12" t="s">
        <v>212</v>
      </c>
      <c r="P34" s="142">
        <f>P33*P32</f>
        <v>10868.76</v>
      </c>
    </row>
    <row r="35" ht="14.25" customHeight="1">
      <c r="O35" s="12" t="s">
        <v>214</v>
      </c>
      <c r="P35" s="142">
        <f>(P34)*0.877</f>
        <v>9531.90252</v>
      </c>
      <c r="Q35" s="12" t="s">
        <v>216</v>
      </c>
      <c r="R35" s="142">
        <f>-(P34-P35)</f>
        <v>-1336.85748</v>
      </c>
      <c r="S35" s="12" t="s">
        <v>219</v>
      </c>
    </row>
    <row r="36" ht="14.25" customHeight="1"/>
    <row r="37" ht="14.25" customHeight="1">
      <c r="A37" s="6" t="s">
        <v>239</v>
      </c>
    </row>
    <row r="38" ht="14.25" customHeight="1">
      <c r="A38" s="12" t="s">
        <v>240</v>
      </c>
      <c r="B38" s="78">
        <f>B9</f>
        <v>2</v>
      </c>
      <c r="D38" s="6"/>
    </row>
    <row r="39" ht="14.25" customHeight="1">
      <c r="A39" s="12" t="s">
        <v>243</v>
      </c>
      <c r="B39" s="12">
        <f>B2*B38</f>
        <v>16</v>
      </c>
      <c r="C39" s="12" t="s">
        <v>115</v>
      </c>
    </row>
    <row r="40" ht="14.25" customHeight="1">
      <c r="A40" s="12" t="s">
        <v>244</v>
      </c>
      <c r="B40" s="12">
        <f>B39*B5</f>
        <v>64</v>
      </c>
      <c r="C40" s="12" t="s">
        <v>115</v>
      </c>
    </row>
    <row r="41" ht="14.25" customHeight="1"/>
    <row r="42" ht="14.25" customHeight="1">
      <c r="A42" s="12" t="s">
        <v>246</v>
      </c>
      <c r="B42" s="23">
        <f>(B4*B8*B18)+(B15*B39)+(B14*B17)</f>
        <v>3065.56</v>
      </c>
    </row>
    <row r="43" ht="14.25" customHeight="1">
      <c r="A43" s="12" t="s">
        <v>248</v>
      </c>
      <c r="B43" s="23">
        <f>B42/B49</f>
        <v>4.230786217</v>
      </c>
      <c r="C43" s="12" t="s">
        <v>57</v>
      </c>
    </row>
    <row r="44" ht="14.25" customHeight="1">
      <c r="A44" s="12" t="s">
        <v>250</v>
      </c>
      <c r="B44" s="26">
        <f>B49*B16</f>
        <v>10868.76</v>
      </c>
    </row>
    <row r="45" ht="14.25" customHeight="1">
      <c r="A45" s="12" t="s">
        <v>251</v>
      </c>
      <c r="B45" s="26">
        <f>B44-B42</f>
        <v>7803.2</v>
      </c>
      <c r="C45" s="12" t="s">
        <v>253</v>
      </c>
      <c r="D45" s="26">
        <f>B45*B6</f>
        <v>1545033.6</v>
      </c>
    </row>
    <row r="46" ht="14.25" customHeight="1">
      <c r="A46" s="12" t="s">
        <v>254</v>
      </c>
      <c r="B46" s="45">
        <f>B45/B44</f>
        <v>0.7179475856</v>
      </c>
    </row>
    <row r="47" ht="14.25" customHeight="1"/>
    <row r="48" ht="14.25" customHeight="1">
      <c r="A48" s="12" t="s">
        <v>255</v>
      </c>
      <c r="B48" s="142">
        <f>(B2*B9)*(B13)</f>
        <v>1.596</v>
      </c>
      <c r="C48" s="12" t="s">
        <v>115</v>
      </c>
    </row>
    <row r="49" ht="14.25" customHeight="1">
      <c r="A49" s="12" t="s">
        <v>258</v>
      </c>
      <c r="B49" s="142">
        <f>B48*454</f>
        <v>724.584</v>
      </c>
      <c r="C49" s="12" t="s">
        <v>219</v>
      </c>
      <c r="D49" s="25" t="s">
        <v>260</v>
      </c>
      <c r="E49" s="85">
        <v>0.036</v>
      </c>
    </row>
    <row r="50" ht="14.25" customHeight="1">
      <c r="A50" s="12" t="s">
        <v>261</v>
      </c>
      <c r="B50" s="142">
        <f>((B2*B9)*B13)*B5</f>
        <v>6.384</v>
      </c>
      <c r="C50" s="12" t="s">
        <v>115</v>
      </c>
      <c r="D50" s="12" t="s">
        <v>263</v>
      </c>
      <c r="E50" s="12">
        <f>E49*(B39*454)</f>
        <v>261.504</v>
      </c>
      <c r="F50" s="12" t="s">
        <v>219</v>
      </c>
    </row>
    <row r="51" ht="14.25" customHeight="1">
      <c r="A51" s="12" t="s">
        <v>258</v>
      </c>
      <c r="B51" s="142">
        <f>B50*454</f>
        <v>2898.336</v>
      </c>
      <c r="C51" s="12" t="s">
        <v>219</v>
      </c>
      <c r="D51" s="25" t="s">
        <v>265</v>
      </c>
      <c r="E51" s="85">
        <v>0.1</v>
      </c>
    </row>
    <row r="52" ht="14.25" customHeight="1">
      <c r="A52" s="203" t="s">
        <v>266</v>
      </c>
      <c r="B52" s="142">
        <f>((B2*B9)*(B13))*20</f>
        <v>31.92</v>
      </c>
      <c r="C52" s="203" t="s">
        <v>115</v>
      </c>
      <c r="D52" s="12" t="s">
        <v>267</v>
      </c>
      <c r="E52" s="12">
        <f>(((B39*454)*E49)*E51)</f>
        <v>26.1504</v>
      </c>
      <c r="F52" s="12" t="s">
        <v>219</v>
      </c>
    </row>
    <row r="53" ht="14.25" customHeight="1">
      <c r="B53" s="142">
        <f>B52*454</f>
        <v>14491.68</v>
      </c>
      <c r="C53" s="203" t="s">
        <v>219</v>
      </c>
      <c r="D53" s="12" t="s">
        <v>269</v>
      </c>
      <c r="E53" s="23">
        <f>B43*E49</f>
        <v>0.1523083038</v>
      </c>
      <c r="F53" s="12" t="s">
        <v>29</v>
      </c>
    </row>
    <row r="54" ht="14.25" customHeight="1">
      <c r="A54" s="12" t="s">
        <v>270</v>
      </c>
      <c r="B54" s="142">
        <f>((B2*B9)*B13)*B6</f>
        <v>316.008</v>
      </c>
      <c r="C54" s="12" t="s">
        <v>115</v>
      </c>
    </row>
    <row r="55" ht="14.25" customHeight="1">
      <c r="A55" s="12" t="s">
        <v>258</v>
      </c>
      <c r="B55" s="142">
        <f>B54*454</f>
        <v>143467.632</v>
      </c>
      <c r="C55" s="12" t="s">
        <v>219</v>
      </c>
    </row>
    <row r="56" ht="14.25" customHeight="1">
      <c r="B56" s="211"/>
    </row>
    <row r="57" ht="14.25" customHeight="1">
      <c r="A57" s="203" t="s">
        <v>272</v>
      </c>
      <c r="B57" s="142">
        <f>B51*12</f>
        <v>34780.032</v>
      </c>
      <c r="C57" s="203" t="s">
        <v>219</v>
      </c>
    </row>
    <row r="58" ht="14.25" customHeight="1">
      <c r="B58" s="142">
        <f>B57/454</f>
        <v>76.608</v>
      </c>
      <c r="C58" s="203" t="s">
        <v>115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G1:H1"/>
    <mergeCell ref="I4:K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30.29"/>
    <col customWidth="1" min="2" max="2" width="10.43"/>
    <col customWidth="1" min="3" max="3" width="10.14"/>
    <col customWidth="1" min="4" max="4" width="8.86"/>
    <col customWidth="1" min="5" max="5" width="8.14"/>
    <col customWidth="1" min="6" max="6" width="15.86" outlineLevel="1"/>
    <col customWidth="1" min="7" max="7" width="10.0" outlineLevel="1"/>
    <col customWidth="1" min="8" max="8" width="11.43" outlineLevel="1"/>
    <col customWidth="1" min="9" max="9" width="8.86"/>
    <col customWidth="1" hidden="1" min="10" max="10" width="22.29" outlineLevel="1"/>
    <col customWidth="1" hidden="1" min="11" max="11" width="8.29" outlineLevel="1"/>
    <col customWidth="1" hidden="1" min="12" max="12" width="18.43" outlineLevel="1"/>
    <col customWidth="1" hidden="1" min="13" max="13" width="12.71" outlineLevel="1"/>
    <col customWidth="1" min="14" max="14" width="8.86"/>
    <col customWidth="1" min="15" max="15" width="39.71" outlineLevel="1"/>
    <col customWidth="1" min="16" max="16" width="11.14" outlineLevel="1"/>
    <col customWidth="1" min="17" max="17" width="17.71" outlineLevel="1"/>
    <col customWidth="1" min="18" max="26" width="8.71"/>
  </cols>
  <sheetData>
    <row r="1" ht="14.25" customHeight="1">
      <c r="A1" s="3" t="s">
        <v>2</v>
      </c>
    </row>
    <row r="2" ht="14.25" customHeight="1">
      <c r="A2" s="6" t="s">
        <v>4</v>
      </c>
      <c r="L2" s="8"/>
    </row>
    <row r="3" ht="14.25" customHeight="1">
      <c r="A3" s="6"/>
      <c r="J3" s="12" t="s">
        <v>8</v>
      </c>
      <c r="K3" s="12" t="s">
        <v>12</v>
      </c>
      <c r="O3" s="12" t="s">
        <v>14</v>
      </c>
      <c r="P3" s="12" t="s">
        <v>18</v>
      </c>
    </row>
    <row r="4" ht="14.25" customHeight="1">
      <c r="A4" s="12" t="s">
        <v>20</v>
      </c>
      <c r="B4" s="26">
        <f>'Volatile IN_OUT'!H18</f>
        <v>7.729542596</v>
      </c>
      <c r="C4" s="12" t="s">
        <v>29</v>
      </c>
      <c r="F4" s="30" t="s">
        <v>30</v>
      </c>
      <c r="G4" s="9" t="s">
        <v>33</v>
      </c>
      <c r="H4" s="25"/>
      <c r="J4" s="12" t="s">
        <v>37</v>
      </c>
      <c r="K4" s="26">
        <f>G6*B4</f>
        <v>0</v>
      </c>
      <c r="O4" s="12" t="s">
        <v>37</v>
      </c>
      <c r="P4" s="26">
        <f>(B4*(1-G7))*0.5</f>
        <v>3.555589594</v>
      </c>
      <c r="Q4" s="45">
        <f>P4/P13</f>
        <v>0.5227363386</v>
      </c>
    </row>
    <row r="5" ht="14.25" customHeight="1">
      <c r="A5" s="25" t="s">
        <v>55</v>
      </c>
      <c r="B5" s="48">
        <v>2.99</v>
      </c>
      <c r="C5" s="25" t="s">
        <v>57</v>
      </c>
      <c r="F5" s="9" t="s">
        <v>58</v>
      </c>
      <c r="G5" s="50">
        <v>0.0</v>
      </c>
      <c r="H5" s="9" t="s">
        <v>60</v>
      </c>
      <c r="J5" s="12" t="s">
        <v>62</v>
      </c>
      <c r="K5" s="26">
        <f>G5*B8</f>
        <v>0</v>
      </c>
      <c r="O5" s="12" t="s">
        <v>62</v>
      </c>
      <c r="P5" s="26">
        <f>B8</f>
        <v>1.43</v>
      </c>
      <c r="Q5" s="45">
        <f>P5/P13</f>
        <v>0.2102360085</v>
      </c>
    </row>
    <row r="6" ht="14.25" customHeight="1">
      <c r="A6" s="12" t="s">
        <v>71</v>
      </c>
      <c r="B6" s="26">
        <f>'Volatile IN_OUT'!E53</f>
        <v>0.1523083038</v>
      </c>
      <c r="C6" s="12" t="s">
        <v>57</v>
      </c>
      <c r="F6" s="12" t="s">
        <v>37</v>
      </c>
      <c r="G6" s="67">
        <f>G5*1</f>
        <v>0</v>
      </c>
      <c r="H6" s="12" t="s">
        <v>77</v>
      </c>
      <c r="J6" s="12" t="s">
        <v>79</v>
      </c>
      <c r="K6" s="26">
        <f>G8*B5</f>
        <v>0</v>
      </c>
      <c r="O6" s="12" t="s">
        <v>79</v>
      </c>
      <c r="P6" s="26">
        <f>(B5*G21)*0.5</f>
        <v>0.1196</v>
      </c>
      <c r="Q6" s="45">
        <f>P6/P13</f>
        <v>0.01758337526</v>
      </c>
    </row>
    <row r="7" ht="32.25" customHeight="1">
      <c r="A7" s="25" t="s">
        <v>89</v>
      </c>
      <c r="B7" s="48">
        <f>359/250</f>
        <v>1.436</v>
      </c>
      <c r="C7" s="25" t="s">
        <v>29</v>
      </c>
      <c r="F7" s="25" t="s">
        <v>93</v>
      </c>
      <c r="G7" s="90">
        <v>0.08</v>
      </c>
      <c r="H7" s="25"/>
      <c r="J7" s="12" t="s">
        <v>97</v>
      </c>
      <c r="K7" s="26">
        <f>G10*B7</f>
        <v>0</v>
      </c>
      <c r="O7" s="12" t="s">
        <v>97</v>
      </c>
      <c r="P7" s="26">
        <f>B7*G23</f>
        <v>0</v>
      </c>
      <c r="Q7" s="45">
        <f>P7/P13</f>
        <v>0</v>
      </c>
    </row>
    <row r="8" ht="14.25" customHeight="1">
      <c r="A8" s="25" t="s">
        <v>62</v>
      </c>
      <c r="B8" s="48">
        <f>1.18+0.25</f>
        <v>1.43</v>
      </c>
      <c r="C8" s="25" t="s">
        <v>109</v>
      </c>
      <c r="F8" s="12" t="s">
        <v>79</v>
      </c>
      <c r="G8" s="67">
        <f>G6*G7</f>
        <v>0</v>
      </c>
      <c r="H8" s="12" t="s">
        <v>77</v>
      </c>
      <c r="J8" s="12" t="s">
        <v>111</v>
      </c>
      <c r="K8" s="26">
        <f>G5*B10</f>
        <v>0</v>
      </c>
      <c r="O8" s="12" t="s">
        <v>117</v>
      </c>
      <c r="P8" s="26">
        <f t="shared" ref="P8:P9" si="1">B10</f>
        <v>0.04651162791</v>
      </c>
      <c r="Q8" s="45">
        <f>P8/P13</f>
        <v>0.006838055246</v>
      </c>
    </row>
    <row r="9" ht="14.25" customHeight="1">
      <c r="A9" s="25" t="s">
        <v>111</v>
      </c>
      <c r="B9" s="48">
        <v>20.0</v>
      </c>
      <c r="C9" s="25" t="s">
        <v>123</v>
      </c>
      <c r="F9" s="25" t="s">
        <v>125</v>
      </c>
      <c r="G9" s="90">
        <v>0.0</v>
      </c>
      <c r="H9" s="25"/>
      <c r="J9" s="12" t="s">
        <v>127</v>
      </c>
      <c r="K9" s="26">
        <f>G5*B11</f>
        <v>0</v>
      </c>
      <c r="O9" s="12" t="s">
        <v>132</v>
      </c>
      <c r="P9" s="26">
        <f t="shared" si="1"/>
        <v>1.037</v>
      </c>
      <c r="Q9" s="45">
        <f>P9/P13</f>
        <v>0.1524578607</v>
      </c>
    </row>
    <row r="10" ht="14.25" customHeight="1">
      <c r="A10" s="12" t="s">
        <v>134</v>
      </c>
      <c r="B10" s="26">
        <f>B9/B16</f>
        <v>0.04651162791</v>
      </c>
      <c r="C10" s="12" t="s">
        <v>109</v>
      </c>
      <c r="F10" s="12" t="s">
        <v>97</v>
      </c>
      <c r="G10" s="67">
        <f>G9*G6</f>
        <v>0</v>
      </c>
      <c r="H10" s="12" t="s">
        <v>141</v>
      </c>
      <c r="J10" s="12"/>
      <c r="K10" s="12"/>
      <c r="L10" s="12" t="s">
        <v>143</v>
      </c>
      <c r="M10" s="23">
        <f>B15</f>
        <v>12</v>
      </c>
      <c r="O10" s="12" t="s">
        <v>146</v>
      </c>
      <c r="P10" s="26">
        <f>B17</f>
        <v>0.04651162791</v>
      </c>
      <c r="Q10" s="45">
        <f>P10/P13</f>
        <v>0.006838055246</v>
      </c>
    </row>
    <row r="11" ht="14.25" customHeight="1">
      <c r="A11" s="25" t="s">
        <v>150</v>
      </c>
      <c r="B11" s="137">
        <f>0.55+0.05+0.25+0.117+0.01+0.06</f>
        <v>1.037</v>
      </c>
      <c r="C11" s="25" t="s">
        <v>109</v>
      </c>
      <c r="J11" s="12" t="s">
        <v>153</v>
      </c>
      <c r="K11" s="26">
        <f>SUM(K4:K10)</f>
        <v>0</v>
      </c>
      <c r="L11" s="12" t="s">
        <v>157</v>
      </c>
      <c r="M11" s="23">
        <f>M10*G5</f>
        <v>0</v>
      </c>
      <c r="O11" s="12" t="s">
        <v>158</v>
      </c>
      <c r="P11" s="26">
        <f>C24</f>
        <v>0.5666666667</v>
      </c>
      <c r="Q11" s="45">
        <f>P11/P13</f>
        <v>0.08331030641</v>
      </c>
    </row>
    <row r="12" ht="14.25" customHeight="1">
      <c r="J12" s="145" t="s">
        <v>161</v>
      </c>
      <c r="K12" s="26" t="str">
        <f>K11/G5</f>
        <v>#DIV/0!</v>
      </c>
      <c r="L12" s="12" t="s">
        <v>164</v>
      </c>
      <c r="M12" s="23">
        <f>M11-K11</f>
        <v>0</v>
      </c>
      <c r="O12" s="12"/>
      <c r="P12" s="12"/>
    </row>
    <row r="13" ht="32.25" customHeight="1">
      <c r="A13" s="6" t="s">
        <v>165</v>
      </c>
      <c r="F13" s="150" t="s">
        <v>166</v>
      </c>
      <c r="G13" s="151"/>
      <c r="H13" s="152"/>
      <c r="J13" s="12" t="s">
        <v>168</v>
      </c>
      <c r="K13" s="26">
        <f>SUM(K5:K9)</f>
        <v>0</v>
      </c>
      <c r="L13" s="12" t="s">
        <v>170</v>
      </c>
      <c r="M13" s="45" t="str">
        <f>(M11-K11)/M11</f>
        <v>#DIV/0!</v>
      </c>
      <c r="O13" s="12" t="s">
        <v>153</v>
      </c>
      <c r="P13" s="26">
        <f>SUM(P4:P12)</f>
        <v>6.801879516</v>
      </c>
    </row>
    <row r="14" ht="28.5" customHeight="1">
      <c r="A14" s="159" t="s">
        <v>176</v>
      </c>
      <c r="B14" s="160">
        <v>8.0</v>
      </c>
      <c r="F14" s="161" t="s">
        <v>181</v>
      </c>
      <c r="G14" s="163">
        <f>B19-(G6+G20)</f>
        <v>9301.90252</v>
      </c>
      <c r="J14" s="166" t="s">
        <v>186</v>
      </c>
      <c r="K14" s="26">
        <f>SUM(K6:K9)</f>
        <v>0</v>
      </c>
      <c r="O14" s="12" t="s">
        <v>192</v>
      </c>
      <c r="P14" s="23">
        <v>13.5</v>
      </c>
    </row>
    <row r="15" ht="27.0" customHeight="1">
      <c r="A15" s="171" t="s">
        <v>198</v>
      </c>
      <c r="B15" s="172">
        <v>12.0</v>
      </c>
      <c r="O15" s="154" t="s">
        <v>170</v>
      </c>
      <c r="P15" s="174">
        <f>(P14-P13)/P13</f>
        <v>0.984745535</v>
      </c>
    </row>
    <row r="16" ht="30.0" customHeight="1">
      <c r="A16" s="171" t="s">
        <v>204</v>
      </c>
      <c r="B16" s="175">
        <v>430.0</v>
      </c>
      <c r="F16" s="30" t="s">
        <v>30</v>
      </c>
      <c r="G16" s="9" t="s">
        <v>207</v>
      </c>
      <c r="H16" s="25"/>
    </row>
    <row r="17" ht="30.0" customHeight="1">
      <c r="A17" s="171" t="s">
        <v>209</v>
      </c>
      <c r="B17" s="23">
        <f>B9/B16</f>
        <v>0.04651162791</v>
      </c>
      <c r="F17" s="30"/>
      <c r="G17" s="9"/>
      <c r="H17" s="25"/>
      <c r="O17" s="22" t="s">
        <v>23</v>
      </c>
      <c r="P17" s="19"/>
      <c r="Q17" s="17"/>
    </row>
    <row r="18" ht="30.0" customHeight="1">
      <c r="A18" s="25" t="s">
        <v>211</v>
      </c>
      <c r="B18" s="146">
        <v>2.5</v>
      </c>
      <c r="F18" s="30"/>
      <c r="G18" s="9"/>
      <c r="H18" s="25"/>
      <c r="O18" s="28" t="s">
        <v>45</v>
      </c>
      <c r="P18" s="3" t="s">
        <v>47</v>
      </c>
      <c r="Q18" s="40" t="s">
        <v>31</v>
      </c>
    </row>
    <row r="19" ht="14.25" customHeight="1">
      <c r="A19" s="12" t="s">
        <v>215</v>
      </c>
      <c r="B19" s="142">
        <f>'Volatile IN_OUT'!P35</f>
        <v>9531.90252</v>
      </c>
      <c r="F19" s="9" t="s">
        <v>217</v>
      </c>
      <c r="G19" s="50">
        <v>500.0</v>
      </c>
      <c r="H19" s="9" t="s">
        <v>60</v>
      </c>
      <c r="O19" s="57" t="s">
        <v>65</v>
      </c>
      <c r="P19" s="61">
        <f>P4</f>
        <v>3.555589594</v>
      </c>
      <c r="Q19" s="126">
        <v>4.5</v>
      </c>
    </row>
    <row r="20" ht="14.25" customHeight="1">
      <c r="A20" s="6" t="s">
        <v>222</v>
      </c>
      <c r="B20" s="25" t="s">
        <v>224</v>
      </c>
      <c r="C20" s="12" t="s">
        <v>225</v>
      </c>
      <c r="F20" s="12" t="s">
        <v>37</v>
      </c>
      <c r="G20" s="67">
        <f>(G19*0.5)-G22</f>
        <v>230</v>
      </c>
      <c r="H20" s="12" t="s">
        <v>77</v>
      </c>
      <c r="O20" s="57" t="s">
        <v>84</v>
      </c>
      <c r="P20" s="61">
        <f>P6</f>
        <v>0.1196</v>
      </c>
      <c r="Q20" s="62">
        <f>P20*2</f>
        <v>0.2392</v>
      </c>
    </row>
    <row r="21" ht="14.25" customHeight="1">
      <c r="A21" s="184" t="s">
        <v>233</v>
      </c>
      <c r="B21" s="185">
        <v>0.2</v>
      </c>
      <c r="C21" s="26">
        <f>(B9/60)*B21</f>
        <v>0.06666666667</v>
      </c>
      <c r="F21" s="25" t="s">
        <v>93</v>
      </c>
      <c r="G21" s="90">
        <v>0.08</v>
      </c>
      <c r="H21" s="25"/>
      <c r="O21" s="57" t="s">
        <v>62</v>
      </c>
      <c r="P21" s="61">
        <f>B8</f>
        <v>1.43</v>
      </c>
      <c r="Q21" s="126">
        <v>0.92</v>
      </c>
    </row>
    <row r="22" ht="14.25" customHeight="1">
      <c r="A22" s="184" t="s">
        <v>235</v>
      </c>
      <c r="B22" s="185">
        <v>0.75</v>
      </c>
      <c r="C22" s="26">
        <f>(B9/60)*B22</f>
        <v>0.25</v>
      </c>
      <c r="F22" s="12" t="s">
        <v>79</v>
      </c>
      <c r="G22" s="67">
        <f>(G19*0.5)*G21</f>
        <v>20</v>
      </c>
      <c r="H22" s="12" t="s">
        <v>77</v>
      </c>
      <c r="O22" s="57" t="s">
        <v>64</v>
      </c>
      <c r="P22" s="61">
        <f t="shared" ref="P22:P24" si="2">P9</f>
        <v>1.037</v>
      </c>
      <c r="Q22" s="126">
        <v>0.07</v>
      </c>
    </row>
    <row r="23" ht="14.25" customHeight="1">
      <c r="A23" s="184" t="s">
        <v>237</v>
      </c>
      <c r="B23" s="185">
        <v>0.75</v>
      </c>
      <c r="C23" s="26">
        <f>(B9/60)*B23</f>
        <v>0.25</v>
      </c>
      <c r="F23" s="25" t="s">
        <v>125</v>
      </c>
      <c r="G23" s="90">
        <v>0.0</v>
      </c>
      <c r="H23" s="25"/>
      <c r="O23" s="57" t="s">
        <v>69</v>
      </c>
      <c r="P23" s="61">
        <f t="shared" si="2"/>
        <v>0.04651162791</v>
      </c>
      <c r="Q23" s="62">
        <f>P10</f>
        <v>0.04651162791</v>
      </c>
    </row>
    <row r="24" ht="14.25" customHeight="1">
      <c r="A24" s="186" t="s">
        <v>153</v>
      </c>
      <c r="B24" s="187"/>
      <c r="C24" s="190">
        <f>SUM(C21:C23)</f>
        <v>0.5666666667</v>
      </c>
      <c r="F24" s="12" t="s">
        <v>97</v>
      </c>
      <c r="G24" s="67">
        <f>G23*G20</f>
        <v>0</v>
      </c>
      <c r="H24" s="12" t="s">
        <v>141</v>
      </c>
      <c r="O24" s="57" t="s">
        <v>80</v>
      </c>
      <c r="P24" s="61">
        <f t="shared" si="2"/>
        <v>0.5666666667</v>
      </c>
      <c r="Q24" s="126">
        <v>0.25</v>
      </c>
    </row>
    <row r="25" ht="14.25" customHeight="1">
      <c r="O25" s="124" t="s">
        <v>138</v>
      </c>
      <c r="P25" s="61">
        <f>420/(600*2)</f>
        <v>0.35</v>
      </c>
      <c r="Q25" s="62">
        <f>P25*2</f>
        <v>0.7</v>
      </c>
    </row>
    <row r="26" ht="14.25" customHeight="1">
      <c r="O26" s="107" t="s">
        <v>86</v>
      </c>
      <c r="P26" s="139">
        <f t="shared" ref="P26:Q26" si="3">SUM(P19:P24)</f>
        <v>6.755367889</v>
      </c>
      <c r="Q26" s="140">
        <f t="shared" si="3"/>
        <v>6.025711628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B1"/>
    <mergeCell ref="F13:H13"/>
    <mergeCell ref="O17:Q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21.57"/>
    <col customWidth="1" min="2" max="2" width="10.71"/>
    <col customWidth="1" min="3" max="3" width="13.71"/>
    <col customWidth="1" min="4" max="4" width="27.71"/>
    <col customWidth="1" min="5" max="5" width="10.14"/>
    <col customWidth="1" min="6" max="6" width="6.71"/>
    <col customWidth="1" min="7" max="7" width="29.0"/>
    <col customWidth="1" min="8" max="8" width="12.29"/>
    <col customWidth="1" min="9" max="9" width="11.71"/>
    <col customWidth="1" min="10" max="10" width="42.43"/>
    <col customWidth="1" min="11" max="11" width="7.71"/>
    <col customWidth="1" min="12" max="12" width="13.14"/>
    <col customWidth="1" min="13" max="13" width="12.71"/>
    <col customWidth="1" min="14" max="14" width="22.57"/>
    <col customWidth="1" min="15" max="15" width="14.71"/>
    <col customWidth="1" min="16" max="16" width="23.29"/>
    <col customWidth="1" min="17" max="17" width="11.71"/>
    <col customWidth="1" min="18" max="26" width="8.71"/>
  </cols>
  <sheetData>
    <row r="1" ht="14.25" customHeight="1">
      <c r="A1" s="25" t="s">
        <v>281</v>
      </c>
      <c r="B1" s="48">
        <v>275000.0</v>
      </c>
      <c r="G1" s="234" t="s">
        <v>283</v>
      </c>
      <c r="H1" s="199"/>
    </row>
    <row r="2" ht="14.25" customHeight="1">
      <c r="A2" s="25" t="s">
        <v>284</v>
      </c>
      <c r="B2" s="25">
        <v>20.0</v>
      </c>
      <c r="C2" s="25" t="s">
        <v>285</v>
      </c>
      <c r="G2" s="42" t="s">
        <v>22</v>
      </c>
      <c r="H2" s="43"/>
    </row>
    <row r="3" ht="14.25" customHeight="1">
      <c r="A3" s="25" t="s">
        <v>24</v>
      </c>
      <c r="B3" s="25">
        <v>3.0</v>
      </c>
      <c r="C3" s="25" t="s">
        <v>162</v>
      </c>
      <c r="D3" s="88" t="s">
        <v>286</v>
      </c>
      <c r="G3" s="238" t="s">
        <v>41</v>
      </c>
      <c r="H3" s="239">
        <v>1300.0</v>
      </c>
    </row>
    <row r="4" ht="14.25" customHeight="1">
      <c r="A4" s="25" t="s">
        <v>36</v>
      </c>
      <c r="B4" s="25">
        <v>1.0</v>
      </c>
      <c r="C4" s="25" t="s">
        <v>39</v>
      </c>
      <c r="G4" s="238" t="s">
        <v>61</v>
      </c>
      <c r="H4" s="240">
        <v>300.0</v>
      </c>
      <c r="P4" s="12" t="s">
        <v>287</v>
      </c>
      <c r="Q4" s="12">
        <v>2.0</v>
      </c>
    </row>
    <row r="5" ht="14.25" customHeight="1">
      <c r="A5" s="25" t="s">
        <v>44</v>
      </c>
      <c r="B5" s="25">
        <v>4.0</v>
      </c>
      <c r="C5" s="25" t="s">
        <v>46</v>
      </c>
      <c r="G5" s="238" t="s">
        <v>67</v>
      </c>
      <c r="H5" s="241">
        <v>0.3223</v>
      </c>
      <c r="J5" s="22" t="s">
        <v>288</v>
      </c>
      <c r="K5" s="19"/>
      <c r="L5" s="20"/>
      <c r="P5" s="12" t="s">
        <v>243</v>
      </c>
      <c r="Q5" s="12">
        <f>B2*Q4</f>
        <v>40</v>
      </c>
      <c r="R5" s="12" t="s">
        <v>115</v>
      </c>
    </row>
    <row r="6" ht="14.25" customHeight="1">
      <c r="A6" s="12" t="s">
        <v>54</v>
      </c>
      <c r="B6" s="12">
        <f>(B5*52)-B7</f>
        <v>198</v>
      </c>
      <c r="C6" s="12" t="s">
        <v>46</v>
      </c>
      <c r="G6" s="244" t="s">
        <v>72</v>
      </c>
      <c r="H6" s="245">
        <f>(H3*(1-H5))+(H4*H5)</f>
        <v>977.7</v>
      </c>
      <c r="J6" s="28" t="str">
        <f>"Figures based on production averages, dry flower equivalent @ $" &amp; TEXT(H3,"#,##0") &amp; "/lb and trim @ $" &amp; TEXT(H4,"#,##0") &amp; "/lb"</f>
        <v>Figures based on production averages, dry flower equivalent @ $1,300/lb and trim @ $300/lb</v>
      </c>
      <c r="K6" s="31" t="s">
        <v>31</v>
      </c>
      <c r="L6" s="34" t="s">
        <v>34</v>
      </c>
      <c r="P6" s="12" t="s">
        <v>301</v>
      </c>
      <c r="Q6" s="12">
        <f>Q5*454</f>
        <v>18160</v>
      </c>
      <c r="R6" s="12" t="s">
        <v>219</v>
      </c>
    </row>
    <row r="7" ht="14.25" customHeight="1">
      <c r="A7" s="59" t="s">
        <v>68</v>
      </c>
      <c r="B7" s="59">
        <v>10.0</v>
      </c>
      <c r="C7" s="59" t="s">
        <v>46</v>
      </c>
      <c r="G7" s="250" t="s">
        <v>81</v>
      </c>
      <c r="H7" s="252">
        <f>H6*0.2</f>
        <v>195.54</v>
      </c>
      <c r="J7" s="41" t="s">
        <v>49</v>
      </c>
      <c r="K7" s="46">
        <f>H22</f>
        <v>16.95681291</v>
      </c>
      <c r="L7" s="254">
        <f>K7*2</f>
        <v>33.91362582</v>
      </c>
      <c r="P7" s="12" t="s">
        <v>244</v>
      </c>
      <c r="Q7" s="12">
        <f>Q5*B5</f>
        <v>160</v>
      </c>
      <c r="R7" s="12" t="s">
        <v>115</v>
      </c>
    </row>
    <row r="8" ht="14.25" customHeight="1">
      <c r="A8" s="25" t="s">
        <v>75</v>
      </c>
      <c r="B8" s="25">
        <v>7.0</v>
      </c>
      <c r="C8" s="25" t="s">
        <v>76</v>
      </c>
      <c r="G8" s="259" t="s">
        <v>10</v>
      </c>
      <c r="H8" s="262">
        <f>45*454</f>
        <v>20430</v>
      </c>
      <c r="J8" s="41" t="s">
        <v>64</v>
      </c>
      <c r="K8" s="46">
        <f>B32+D41</f>
        <v>1.189779864</v>
      </c>
      <c r="L8" s="53">
        <f t="shared" ref="L8:L11" si="1">K8</f>
        <v>1.189779864</v>
      </c>
    </row>
    <row r="9" ht="14.25" customHeight="1">
      <c r="A9" s="12" t="s">
        <v>85</v>
      </c>
      <c r="B9" s="12">
        <v>2.0</v>
      </c>
      <c r="C9" s="12" t="s">
        <v>88</v>
      </c>
      <c r="G9" s="14" t="s">
        <v>92</v>
      </c>
      <c r="H9" s="32">
        <f>H7/454</f>
        <v>0.4307048458</v>
      </c>
      <c r="J9" s="41" t="s">
        <v>69</v>
      </c>
      <c r="K9" s="46">
        <f t="shared" ref="K9:K10" si="2">F31</f>
        <v>0.1468531469</v>
      </c>
      <c r="L9" s="53">
        <f t="shared" si="1"/>
        <v>0.1468531469</v>
      </c>
      <c r="P9" s="6" t="s">
        <v>325</v>
      </c>
    </row>
    <row r="10" ht="14.25" customHeight="1">
      <c r="A10" s="12" t="s">
        <v>94</v>
      </c>
      <c r="B10" s="12">
        <f>B9*B6</f>
        <v>396</v>
      </c>
      <c r="C10" s="12" t="s">
        <v>96</v>
      </c>
      <c r="G10" s="14" t="s">
        <v>40</v>
      </c>
      <c r="H10" s="32">
        <f>H9*H8</f>
        <v>8799.3</v>
      </c>
      <c r="J10" s="41" t="s">
        <v>80</v>
      </c>
      <c r="K10" s="46">
        <f t="shared" si="2"/>
        <v>0.84</v>
      </c>
      <c r="L10" s="53">
        <f t="shared" si="1"/>
        <v>0.84</v>
      </c>
      <c r="P10" s="12" t="s">
        <v>332</v>
      </c>
      <c r="Q10" s="26">
        <f>(B4*B8*B18)+(Q5*B13)+(B12*B17)</f>
        <v>9740.3675</v>
      </c>
    </row>
    <row r="11" ht="14.25" customHeight="1">
      <c r="A11" s="25" t="s">
        <v>124</v>
      </c>
      <c r="B11" s="273">
        <v>0.03</v>
      </c>
      <c r="C11" s="25" t="s">
        <v>118</v>
      </c>
      <c r="G11" s="14" t="s">
        <v>48</v>
      </c>
      <c r="H11" s="32">
        <f>B18*B8</f>
        <v>140</v>
      </c>
      <c r="J11" s="41" t="s">
        <v>83</v>
      </c>
      <c r="K11" s="46">
        <f>B36/H20</f>
        <v>0.7100427234</v>
      </c>
      <c r="L11" s="53">
        <f t="shared" si="1"/>
        <v>0.7100427234</v>
      </c>
      <c r="P11" s="12" t="s">
        <v>248</v>
      </c>
      <c r="Q11" s="26">
        <f>Q10/Q18</f>
        <v>17.87879497</v>
      </c>
      <c r="S11" s="12" t="s">
        <v>337</v>
      </c>
      <c r="T11" s="12"/>
    </row>
    <row r="12" ht="14.25" customHeight="1">
      <c r="A12" s="59" t="s">
        <v>338</v>
      </c>
      <c r="B12" s="59">
        <v>75.0</v>
      </c>
      <c r="C12" s="59" t="s">
        <v>340</v>
      </c>
      <c r="G12" s="14" t="s">
        <v>100</v>
      </c>
      <c r="H12" s="32">
        <f>B17*(B12*B9)</f>
        <v>0.735</v>
      </c>
      <c r="J12" s="107" t="s">
        <v>86</v>
      </c>
      <c r="K12" s="109">
        <f t="shared" ref="K12:L12" si="3">SUM(K7:K10)</f>
        <v>19.13344592</v>
      </c>
      <c r="L12" s="110">
        <f t="shared" si="3"/>
        <v>36.09025883</v>
      </c>
      <c r="P12" s="12" t="s">
        <v>250</v>
      </c>
      <c r="Q12" s="26">
        <f>Q18*B14</f>
        <v>5448</v>
      </c>
      <c r="S12" s="78">
        <f>B1/Q13</f>
        <v>-64.06720767</v>
      </c>
      <c r="T12" s="12" t="s">
        <v>46</v>
      </c>
    </row>
    <row r="13" ht="14.25" customHeight="1">
      <c r="A13" s="25" t="s">
        <v>347</v>
      </c>
      <c r="B13" s="293">
        <v>240.0</v>
      </c>
      <c r="C13" s="25" t="s">
        <v>145</v>
      </c>
      <c r="G13" s="14" t="s">
        <v>102</v>
      </c>
      <c r="H13" s="32">
        <f>B18*1</f>
        <v>20</v>
      </c>
      <c r="P13" s="12" t="s">
        <v>348</v>
      </c>
      <c r="Q13" s="26">
        <f>Q12-Q10</f>
        <v>-4292.3675</v>
      </c>
    </row>
    <row r="14" ht="14.25" customHeight="1">
      <c r="A14" s="25" t="s">
        <v>351</v>
      </c>
      <c r="B14" s="293">
        <v>10.0</v>
      </c>
      <c r="C14" s="25" t="s">
        <v>352</v>
      </c>
      <c r="G14" s="296" t="s">
        <v>103</v>
      </c>
      <c r="H14" s="300">
        <f>B18*(H16/675)</f>
        <v>19.37066667</v>
      </c>
      <c r="P14" s="12" t="s">
        <v>170</v>
      </c>
      <c r="Q14" s="45">
        <f>(Q13/Q12)</f>
        <v>-0.7878794971</v>
      </c>
    </row>
    <row r="15" ht="14.25" customHeight="1">
      <c r="A15" s="25" t="s">
        <v>358</v>
      </c>
      <c r="B15" s="293">
        <v>15.0</v>
      </c>
      <c r="C15" s="25" t="s">
        <v>29</v>
      </c>
      <c r="G15" s="306" t="s">
        <v>108</v>
      </c>
      <c r="H15" s="309">
        <v>0.032</v>
      </c>
      <c r="P15" s="12"/>
      <c r="Q15" s="45"/>
    </row>
    <row r="16" ht="14.25" customHeight="1">
      <c r="A16" s="25" t="s">
        <v>364</v>
      </c>
      <c r="B16" s="293">
        <v>2.0</v>
      </c>
      <c r="C16" s="25" t="s">
        <v>57</v>
      </c>
      <c r="G16" s="81" t="s">
        <v>110</v>
      </c>
      <c r="H16" s="314">
        <f>H8*H15</f>
        <v>653.76</v>
      </c>
      <c r="P16" s="12"/>
      <c r="Q16" s="45"/>
    </row>
    <row r="17" ht="14.25" customHeight="1">
      <c r="A17" s="59" t="s">
        <v>370</v>
      </c>
      <c r="B17" s="59">
        <v>0.0049</v>
      </c>
      <c r="C17" s="59" t="s">
        <v>372</v>
      </c>
      <c r="D17" s="88" t="s">
        <v>373</v>
      </c>
      <c r="G17" s="81" t="s">
        <v>113</v>
      </c>
      <c r="H17" s="318">
        <f>H10+H11+H12+H13</f>
        <v>8960.035</v>
      </c>
      <c r="P17" s="12" t="s">
        <v>378</v>
      </c>
      <c r="Q17" s="12">
        <f>(B2*B11)*B9</f>
        <v>1.2</v>
      </c>
      <c r="R17" s="12" t="s">
        <v>115</v>
      </c>
    </row>
    <row r="18" ht="14.25" customHeight="1">
      <c r="A18" s="25" t="s">
        <v>380</v>
      </c>
      <c r="B18" s="48">
        <v>20.0</v>
      </c>
      <c r="C18" s="25" t="s">
        <v>162</v>
      </c>
      <c r="G18" s="322" t="s">
        <v>120</v>
      </c>
      <c r="H18" s="328">
        <f>H17/H16</f>
        <v>13.70538883</v>
      </c>
      <c r="P18" s="12" t="s">
        <v>258</v>
      </c>
      <c r="Q18" s="12">
        <f>Q17*454</f>
        <v>544.8</v>
      </c>
    </row>
    <row r="19" ht="14.25" customHeight="1">
      <c r="G19" s="332" t="s">
        <v>121</v>
      </c>
      <c r="H19" s="316">
        <v>0.81</v>
      </c>
      <c r="P19" s="12" t="s">
        <v>261</v>
      </c>
      <c r="Q19" s="12">
        <f>Q17*5</f>
        <v>6</v>
      </c>
      <c r="R19" s="12" t="s">
        <v>115</v>
      </c>
    </row>
    <row r="20" ht="14.25" customHeight="1">
      <c r="A20" s="6" t="s">
        <v>386</v>
      </c>
      <c r="G20" s="156" t="s">
        <v>126</v>
      </c>
      <c r="H20" s="157">
        <f>H16*H19</f>
        <v>529.5456</v>
      </c>
      <c r="P20" s="12" t="s">
        <v>258</v>
      </c>
      <c r="Q20" s="12">
        <f>Q19*454</f>
        <v>2724</v>
      </c>
    </row>
    <row r="21" ht="14.25" customHeight="1">
      <c r="A21" s="25" t="s">
        <v>390</v>
      </c>
      <c r="B21" s="11">
        <v>120.0</v>
      </c>
      <c r="C21" s="25" t="s">
        <v>391</v>
      </c>
      <c r="G21" s="156" t="s">
        <v>131</v>
      </c>
      <c r="H21" s="162">
        <f>H10+H11+H12+H13+H14</f>
        <v>8979.405667</v>
      </c>
      <c r="P21" s="12" t="s">
        <v>270</v>
      </c>
      <c r="Q21" s="12">
        <f>Q17*B6</f>
        <v>237.6</v>
      </c>
      <c r="R21" s="12" t="s">
        <v>115</v>
      </c>
    </row>
    <row r="22" ht="14.25" customHeight="1">
      <c r="A22" s="25" t="s">
        <v>394</v>
      </c>
      <c r="B22" s="11">
        <v>40.0</v>
      </c>
      <c r="C22" s="25" t="s">
        <v>219</v>
      </c>
      <c r="G22" s="165" t="s">
        <v>135</v>
      </c>
      <c r="H22" s="168">
        <f>H21/H20</f>
        <v>16.95681291</v>
      </c>
      <c r="P22" s="12" t="s">
        <v>258</v>
      </c>
      <c r="Q22" s="12">
        <f>Q21*454</f>
        <v>107870.4</v>
      </c>
    </row>
    <row r="23" ht="14.25" customHeight="1">
      <c r="A23" s="12" t="s">
        <v>397</v>
      </c>
      <c r="B23" s="78">
        <f>(B24*B21)/3600</f>
        <v>0.454</v>
      </c>
      <c r="C23" s="12" t="s">
        <v>400</v>
      </c>
    </row>
    <row r="24" ht="14.25" customHeight="1">
      <c r="A24" s="12" t="s">
        <v>401</v>
      </c>
      <c r="B24" s="56">
        <f>Q18/B22</f>
        <v>13.62</v>
      </c>
      <c r="C24" s="12" t="s">
        <v>404</v>
      </c>
      <c r="P24" s="203" t="s">
        <v>405</v>
      </c>
      <c r="Q24" s="12">
        <f>Q20*12</f>
        <v>32688</v>
      </c>
      <c r="R24" s="12" t="s">
        <v>219</v>
      </c>
    </row>
    <row r="25" ht="14.25" customHeight="1">
      <c r="A25" s="12" t="s">
        <v>406</v>
      </c>
      <c r="B25" s="12">
        <f>Q18</f>
        <v>544.8</v>
      </c>
      <c r="C25" s="12" t="s">
        <v>219</v>
      </c>
      <c r="Q25" s="12">
        <f>Q24/454</f>
        <v>72</v>
      </c>
      <c r="R25" s="12" t="s">
        <v>115</v>
      </c>
    </row>
    <row r="26" ht="14.25" customHeight="1">
      <c r="A26" s="184" t="s">
        <v>407</v>
      </c>
      <c r="B26" s="90">
        <v>0.85</v>
      </c>
      <c r="C26" s="25"/>
    </row>
    <row r="27" ht="14.25" customHeight="1">
      <c r="A27" s="12" t="s">
        <v>408</v>
      </c>
      <c r="B27" s="12">
        <f>B25*B26</f>
        <v>463.08</v>
      </c>
      <c r="C27" s="12" t="s">
        <v>219</v>
      </c>
      <c r="P27" s="6" t="s">
        <v>409</v>
      </c>
    </row>
    <row r="28" ht="14.25" customHeight="1">
      <c r="A28" s="12" t="s">
        <v>301</v>
      </c>
      <c r="B28" s="12">
        <f>B27/454</f>
        <v>1.02</v>
      </c>
      <c r="C28" s="12" t="s">
        <v>411</v>
      </c>
      <c r="P28" s="12" t="s">
        <v>332</v>
      </c>
      <c r="Q28" s="26">
        <f>Q10+(B23*B18)+(B16*B27)</f>
        <v>10675.6075</v>
      </c>
    </row>
    <row r="29" ht="14.25" customHeight="1">
      <c r="A29" s="158" t="s">
        <v>175</v>
      </c>
      <c r="B29" s="46">
        <v>0.4</v>
      </c>
      <c r="D29" s="88" t="s">
        <v>177</v>
      </c>
      <c r="E29" s="88" t="s">
        <v>178</v>
      </c>
      <c r="F29" s="88" t="s">
        <v>179</v>
      </c>
      <c r="P29" s="12"/>
      <c r="Q29" s="26"/>
    </row>
    <row r="30" ht="14.25" customHeight="1">
      <c r="A30" s="88" t="s">
        <v>183</v>
      </c>
      <c r="B30" s="46">
        <v>0.64</v>
      </c>
      <c r="D30" s="88" t="s">
        <v>185</v>
      </c>
      <c r="E30" s="338">
        <v>21.0</v>
      </c>
      <c r="P30" s="12" t="s">
        <v>248</v>
      </c>
      <c r="Q30" s="26">
        <f>Q28/B27</f>
        <v>23.05348428</v>
      </c>
    </row>
    <row r="31" ht="14.25" customHeight="1">
      <c r="A31" s="88" t="s">
        <v>197</v>
      </c>
      <c r="B31" s="46">
        <v>0.04</v>
      </c>
      <c r="D31" s="88" t="s">
        <v>200</v>
      </c>
      <c r="E31" s="173">
        <f>143/60</f>
        <v>2.383333333</v>
      </c>
      <c r="F31" s="46">
        <f>E30/(E31*60)</f>
        <v>0.1468531469</v>
      </c>
      <c r="P31" s="12" t="s">
        <v>414</v>
      </c>
      <c r="Q31" s="26">
        <f>B27*B15</f>
        <v>6946.2</v>
      </c>
    </row>
    <row r="32" ht="14.25" customHeight="1">
      <c r="A32" s="88" t="s">
        <v>206</v>
      </c>
      <c r="B32" s="46">
        <f>SUM(B29:B31)</f>
        <v>1.08</v>
      </c>
      <c r="D32" s="88" t="s">
        <v>208</v>
      </c>
      <c r="E32" s="173">
        <f>12/5</f>
        <v>2.4</v>
      </c>
      <c r="F32" s="46">
        <f>E32*(E30/60)</f>
        <v>0.84</v>
      </c>
      <c r="P32" s="12" t="s">
        <v>419</v>
      </c>
      <c r="Q32" s="26">
        <f>Q31-Q28</f>
        <v>-3729.4075</v>
      </c>
    </row>
    <row r="33" ht="14.25" customHeight="1">
      <c r="D33" s="88" t="s">
        <v>86</v>
      </c>
      <c r="F33" s="46">
        <f>SUM(F31:F32)</f>
        <v>0.9868531469</v>
      </c>
      <c r="P33" s="12" t="s">
        <v>170</v>
      </c>
      <c r="Q33" s="45">
        <f>Q32/Q31</f>
        <v>-0.5368989519</v>
      </c>
    </row>
    <row r="34" ht="14.25" customHeight="1">
      <c r="A34" s="88" t="s">
        <v>420</v>
      </c>
    </row>
    <row r="35" ht="14.25" customHeight="1">
      <c r="A35" s="88" t="s">
        <v>220</v>
      </c>
      <c r="B35" s="46">
        <v>500.0</v>
      </c>
    </row>
    <row r="36" ht="14.25" customHeight="1">
      <c r="A36" s="88" t="s">
        <v>223</v>
      </c>
      <c r="B36" s="46">
        <f>470-(470*0.2)</f>
        <v>376</v>
      </c>
    </row>
    <row r="37" ht="14.25" customHeight="1"/>
    <row r="38" ht="14.25" customHeight="1">
      <c r="A38" s="88" t="s">
        <v>226</v>
      </c>
      <c r="B38" s="88" t="s">
        <v>228</v>
      </c>
      <c r="C38" s="88" t="s">
        <v>229</v>
      </c>
      <c r="D38" s="88" t="s">
        <v>230</v>
      </c>
    </row>
    <row r="39" ht="14.25" customHeight="1">
      <c r="A39" s="88" t="s">
        <v>232</v>
      </c>
      <c r="B39" s="46">
        <v>14.98</v>
      </c>
      <c r="C39" s="173">
        <f>1135*4</f>
        <v>4540</v>
      </c>
      <c r="D39" s="183">
        <f t="shared" ref="D39:D40" si="4">B39/C39</f>
        <v>0.003299559471</v>
      </c>
    </row>
    <row r="40" ht="14.25" customHeight="1">
      <c r="A40" s="88" t="s">
        <v>234</v>
      </c>
      <c r="B40" s="46">
        <v>83.8</v>
      </c>
      <c r="C40" s="173">
        <v>787.0</v>
      </c>
      <c r="D40" s="46">
        <f t="shared" si="4"/>
        <v>0.106480305</v>
      </c>
    </row>
    <row r="41" ht="14.25" customHeight="1">
      <c r="A41" s="88" t="s">
        <v>236</v>
      </c>
      <c r="D41" s="183">
        <f>SUM(D39:D40)</f>
        <v>0.1097798644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1:H1"/>
    <mergeCell ref="G2:H2"/>
    <mergeCell ref="J5:K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4.43"/>
    <col customWidth="1" min="2" max="2" width="15.0"/>
    <col customWidth="1" min="3" max="3" width="13.43"/>
    <col customWidth="1" min="4" max="4" width="14.14"/>
    <col customWidth="1" min="5" max="5" width="9.71"/>
    <col customWidth="1" min="6" max="6" width="9.29"/>
    <col customWidth="1" min="7" max="7" width="26.71"/>
    <col customWidth="1" min="8" max="8" width="11.29"/>
    <col customWidth="1" min="9" max="9" width="11.57"/>
    <col customWidth="1" min="10" max="10" width="15.57"/>
    <col customWidth="1" min="11" max="11" width="14.57"/>
    <col customWidth="1" min="12" max="12" width="14.43"/>
    <col customWidth="1" min="13" max="13" width="8.71"/>
    <col customWidth="1" min="14" max="14" width="26.29"/>
    <col customWidth="1" min="15" max="15" width="42.43"/>
    <col customWidth="1" min="16" max="16" width="16.71"/>
    <col customWidth="1" min="17" max="17" width="18.86"/>
    <col customWidth="1" min="18" max="18" width="18.0"/>
    <col customWidth="1" min="19" max="19" width="18.57"/>
    <col customWidth="1" min="20" max="20" width="20.14"/>
    <col customWidth="1" min="21" max="21" width="19.86"/>
    <col customWidth="1" min="22" max="22" width="19.71"/>
    <col customWidth="1" min="23" max="23" width="26.86"/>
    <col customWidth="1" min="24" max="25" width="21.14"/>
    <col customWidth="1" min="26" max="26" width="8.71"/>
  </cols>
  <sheetData>
    <row r="1" ht="14.25" customHeight="1">
      <c r="A1" s="88" t="s">
        <v>289</v>
      </c>
      <c r="D1" s="9" t="s">
        <v>291</v>
      </c>
      <c r="E1" s="242">
        <v>1200.0</v>
      </c>
      <c r="G1" s="12" t="s">
        <v>292</v>
      </c>
      <c r="H1" s="166" t="s">
        <v>293</v>
      </c>
      <c r="I1" s="166" t="s">
        <v>294</v>
      </c>
      <c r="J1" s="166" t="s">
        <v>295</v>
      </c>
      <c r="K1" s="166" t="s">
        <v>296</v>
      </c>
      <c r="L1" s="243" t="s">
        <v>297</v>
      </c>
    </row>
    <row r="2" ht="14.25" customHeight="1">
      <c r="D2" s="9" t="s">
        <v>298</v>
      </c>
      <c r="E2" s="242">
        <v>300.0</v>
      </c>
      <c r="G2" s="12" t="s">
        <v>299</v>
      </c>
      <c r="H2" s="26">
        <f>C13+(B15*0.35)+(B8/I7)</f>
        <v>0.6940011514</v>
      </c>
      <c r="I2" s="26">
        <f>B13+(B15*B11)</f>
        <v>1.76984456</v>
      </c>
      <c r="J2" s="26">
        <f>D13+(B15*B11*J13)+(B19*J12)+(B8/J7)</f>
        <v>5.052286747</v>
      </c>
      <c r="K2" s="26">
        <f>D13+(B15*B11*K13)+(C19*K12)+(B7/K6)</f>
        <v>3.961239076</v>
      </c>
      <c r="L2" s="26">
        <f>D13+(B15*1.1*L13)+(D19*L12)+(B7/L6)</f>
        <v>4.577294941</v>
      </c>
    </row>
    <row r="3" ht="37.5" customHeight="1">
      <c r="A3" s="255" t="s">
        <v>313</v>
      </c>
      <c r="B3" s="256"/>
      <c r="C3" s="257"/>
      <c r="D3" s="9" t="s">
        <v>314</v>
      </c>
      <c r="E3" s="258">
        <v>0.4</v>
      </c>
      <c r="G3" s="261" t="s">
        <v>316</v>
      </c>
      <c r="K3" s="88" t="s">
        <v>0</v>
      </c>
      <c r="N3" s="263" t="s">
        <v>25</v>
      </c>
      <c r="O3" s="152"/>
      <c r="Q3" s="263" t="s">
        <v>32</v>
      </c>
      <c r="R3" s="151"/>
      <c r="S3" s="152"/>
      <c r="U3" s="263" t="s">
        <v>38</v>
      </c>
      <c r="V3" s="151"/>
      <c r="W3" s="152"/>
    </row>
    <row r="4" ht="14.25" customHeight="1">
      <c r="A4" s="9" t="s">
        <v>318</v>
      </c>
      <c r="B4" s="11">
        <v>7.0</v>
      </c>
      <c r="C4" s="9" t="s">
        <v>76</v>
      </c>
      <c r="D4" s="12" t="s">
        <v>320</v>
      </c>
      <c r="E4" s="45">
        <f>1-E3</f>
        <v>0.6</v>
      </c>
      <c r="G4" s="25"/>
      <c r="H4" s="25" t="s">
        <v>322</v>
      </c>
      <c r="I4" s="25" t="s">
        <v>323</v>
      </c>
      <c r="J4" s="184" t="s">
        <v>324</v>
      </c>
      <c r="K4" s="184" t="s">
        <v>326</v>
      </c>
      <c r="L4" s="184" t="s">
        <v>327</v>
      </c>
      <c r="N4" s="269" t="s">
        <v>52</v>
      </c>
      <c r="O4" s="270"/>
      <c r="P4" s="158"/>
      <c r="Q4" s="269" t="s">
        <v>52</v>
      </c>
      <c r="R4" s="49"/>
      <c r="S4" s="270"/>
      <c r="T4" s="158"/>
      <c r="U4" s="269" t="s">
        <v>52</v>
      </c>
      <c r="V4" s="49"/>
      <c r="W4" s="270"/>
    </row>
    <row r="5" ht="14.25" customHeight="1">
      <c r="A5" s="9" t="s">
        <v>331</v>
      </c>
      <c r="B5" s="11">
        <v>5.0</v>
      </c>
      <c r="C5" s="9" t="s">
        <v>46</v>
      </c>
      <c r="D5" s="12" t="s">
        <v>82</v>
      </c>
      <c r="E5" s="26">
        <f>(E1*E3)+(E2*E4)</f>
        <v>660</v>
      </c>
      <c r="G5" s="272" t="s">
        <v>333</v>
      </c>
      <c r="H5" s="274">
        <v>20.0</v>
      </c>
      <c r="I5" s="274">
        <v>15.0</v>
      </c>
      <c r="J5" s="11">
        <v>10.0</v>
      </c>
      <c r="K5" s="11">
        <v>10.0</v>
      </c>
      <c r="L5" s="277">
        <v>9.0</v>
      </c>
      <c r="N5" s="278" t="s">
        <v>73</v>
      </c>
      <c r="O5" s="279">
        <f>I2+(B7/I6)</f>
        <v>1.800955671</v>
      </c>
      <c r="Q5" s="280" t="s">
        <v>73</v>
      </c>
      <c r="R5" s="70"/>
      <c r="S5" s="279">
        <f>L2</f>
        <v>4.577294941</v>
      </c>
      <c r="U5" s="278" t="s">
        <v>73</v>
      </c>
      <c r="V5" s="72"/>
      <c r="W5" s="279">
        <f>K2</f>
        <v>3.961239076</v>
      </c>
    </row>
    <row r="6" ht="14.25" customHeight="1">
      <c r="A6" s="12" t="s">
        <v>342</v>
      </c>
      <c r="B6" s="12">
        <f>B5*4</f>
        <v>20</v>
      </c>
      <c r="C6" s="12" t="s">
        <v>46</v>
      </c>
      <c r="G6" s="286" t="s">
        <v>344</v>
      </c>
      <c r="H6" s="289">
        <f t="shared" ref="H6:L6" si="1">H5*60</f>
        <v>1200</v>
      </c>
      <c r="I6" s="289">
        <f t="shared" si="1"/>
        <v>900</v>
      </c>
      <c r="J6" s="289">
        <f t="shared" si="1"/>
        <v>600</v>
      </c>
      <c r="K6" s="289">
        <f t="shared" si="1"/>
        <v>600</v>
      </c>
      <c r="L6" s="289">
        <f t="shared" si="1"/>
        <v>540</v>
      </c>
      <c r="N6" s="278" t="s">
        <v>87</v>
      </c>
      <c r="O6" s="294">
        <f>O5/O11</f>
        <v>0.4510332243</v>
      </c>
      <c r="Q6" s="280" t="s">
        <v>87</v>
      </c>
      <c r="R6" s="70"/>
      <c r="S6" s="294">
        <f>S5/S11</f>
        <v>0.6761848879</v>
      </c>
      <c r="U6" s="278" t="s">
        <v>87</v>
      </c>
      <c r="V6" s="72"/>
      <c r="W6" s="294">
        <f>W5/W11</f>
        <v>0.6437648573</v>
      </c>
    </row>
    <row r="7" ht="14.25" customHeight="1">
      <c r="A7" s="9" t="s">
        <v>357</v>
      </c>
      <c r="B7" s="293">
        <v>28.0</v>
      </c>
      <c r="C7" s="9" t="s">
        <v>361</v>
      </c>
      <c r="G7" s="12" t="s">
        <v>363</v>
      </c>
      <c r="H7" s="311">
        <f>B4*H6</f>
        <v>8400</v>
      </c>
      <c r="I7" s="311">
        <f t="shared" ref="I7:I8" si="2">I6*B4</f>
        <v>6300</v>
      </c>
      <c r="J7" s="311">
        <f t="shared" ref="J7:J8" si="3">J6*B4</f>
        <v>4200</v>
      </c>
      <c r="K7" s="311">
        <f t="shared" ref="K7:K8" si="4">J6*B4</f>
        <v>4200</v>
      </c>
      <c r="L7" s="311">
        <f t="shared" ref="L7:L8" si="5">L6*B4</f>
        <v>3780</v>
      </c>
      <c r="N7" s="278" t="s">
        <v>95</v>
      </c>
      <c r="O7" s="279">
        <v>0.33</v>
      </c>
      <c r="Q7" s="280" t="s">
        <v>95</v>
      </c>
      <c r="R7" s="70"/>
      <c r="S7" s="279">
        <v>0.33</v>
      </c>
      <c r="U7" s="280" t="s">
        <v>95</v>
      </c>
      <c r="V7" s="70"/>
      <c r="W7" s="279">
        <v>0.33</v>
      </c>
    </row>
    <row r="8" ht="14.25" customHeight="1">
      <c r="A8" s="12" t="s">
        <v>379</v>
      </c>
      <c r="B8" s="26">
        <f>B7*8</f>
        <v>224</v>
      </c>
      <c r="C8" s="12"/>
      <c r="G8" s="12" t="s">
        <v>381</v>
      </c>
      <c r="H8" s="311">
        <f>H7*B5</f>
        <v>42000</v>
      </c>
      <c r="I8" s="311">
        <f t="shared" si="2"/>
        <v>31500</v>
      </c>
      <c r="J8" s="311">
        <f t="shared" si="3"/>
        <v>21000</v>
      </c>
      <c r="K8" s="311">
        <f t="shared" si="4"/>
        <v>21000</v>
      </c>
      <c r="L8" s="311">
        <f t="shared" si="5"/>
        <v>18900</v>
      </c>
      <c r="N8" s="278" t="s">
        <v>106</v>
      </c>
      <c r="O8" s="294">
        <f>O7/O11</f>
        <v>0.08264554561</v>
      </c>
      <c r="Q8" s="280" t="s">
        <v>106</v>
      </c>
      <c r="R8" s="70"/>
      <c r="S8" s="294">
        <f>S7/S11</f>
        <v>0.04874953786</v>
      </c>
      <c r="U8" s="280" t="s">
        <v>106</v>
      </c>
      <c r="V8" s="70"/>
      <c r="W8" s="294">
        <f>W7/W11</f>
        <v>0.05363029064</v>
      </c>
    </row>
    <row r="9" ht="21.75" customHeight="1">
      <c r="A9" s="12" t="s">
        <v>387</v>
      </c>
      <c r="B9" s="26">
        <f>B8*B6</f>
        <v>4480</v>
      </c>
      <c r="C9" s="12"/>
      <c r="G9" s="12" t="s">
        <v>12</v>
      </c>
      <c r="H9" s="311">
        <f t="shared" ref="H9:L9" si="6">H8*4</f>
        <v>168000</v>
      </c>
      <c r="I9" s="311">
        <f t="shared" si="6"/>
        <v>126000</v>
      </c>
      <c r="J9" s="311">
        <f t="shared" si="6"/>
        <v>84000</v>
      </c>
      <c r="K9" s="311">
        <f t="shared" si="6"/>
        <v>84000</v>
      </c>
      <c r="L9" s="311">
        <f t="shared" si="6"/>
        <v>75600</v>
      </c>
      <c r="N9" s="278" t="s">
        <v>114</v>
      </c>
      <c r="O9" s="335">
        <v>1.862</v>
      </c>
      <c r="Q9" s="280" t="s">
        <v>114</v>
      </c>
      <c r="R9" s="70"/>
      <c r="S9" s="279">
        <v>1.862</v>
      </c>
      <c r="U9" s="280" t="s">
        <v>114</v>
      </c>
      <c r="V9" s="70"/>
      <c r="W9" s="335">
        <v>1.862</v>
      </c>
    </row>
    <row r="10" ht="14.25" customHeight="1">
      <c r="A10" s="336" t="s">
        <v>396</v>
      </c>
      <c r="B10" s="151"/>
      <c r="C10" s="151"/>
      <c r="D10" s="152"/>
      <c r="G10" s="12" t="s">
        <v>399</v>
      </c>
      <c r="H10" s="311">
        <f>C11*H7</f>
        <v>2940</v>
      </c>
      <c r="I10" s="311">
        <f>B11*I7</f>
        <v>6300</v>
      </c>
      <c r="J10" s="311">
        <f>(J7*B11)-J14</f>
        <v>3360</v>
      </c>
      <c r="K10" s="311">
        <f>(J7*B11)-K14</f>
        <v>2940</v>
      </c>
      <c r="L10" s="311">
        <f>(B11*L7)-L14</f>
        <v>2646</v>
      </c>
      <c r="N10" s="278" t="s">
        <v>128</v>
      </c>
      <c r="O10" s="294">
        <f>O9/O11</f>
        <v>0.4663212301</v>
      </c>
      <c r="Q10" s="280" t="s">
        <v>128</v>
      </c>
      <c r="R10" s="70"/>
      <c r="S10" s="294">
        <f>S9/S11</f>
        <v>0.2750655742</v>
      </c>
      <c r="U10" s="280" t="s">
        <v>128</v>
      </c>
      <c r="V10" s="70"/>
      <c r="W10" s="294">
        <f>W9/W11</f>
        <v>0.302604852</v>
      </c>
    </row>
    <row r="11" ht="14.25" customHeight="1">
      <c r="A11" s="88" t="s">
        <v>410</v>
      </c>
      <c r="B11" s="337">
        <v>1.0</v>
      </c>
      <c r="C11" s="337">
        <v>0.35</v>
      </c>
      <c r="D11" s="88" t="s">
        <v>412</v>
      </c>
      <c r="G11" s="12" t="s">
        <v>413</v>
      </c>
      <c r="H11" s="311">
        <f>H9*C11</f>
        <v>58800</v>
      </c>
      <c r="I11" s="311">
        <f>B11*I9</f>
        <v>126000</v>
      </c>
      <c r="J11" s="311">
        <f>(B11*J9)-J15</f>
        <v>67200</v>
      </c>
      <c r="K11" s="311">
        <f>(B11*J9)-J15</f>
        <v>67200</v>
      </c>
      <c r="L11" s="311">
        <f>(B11*L9)-L15</f>
        <v>52920</v>
      </c>
      <c r="N11" s="339" t="s">
        <v>144</v>
      </c>
      <c r="O11" s="340">
        <f>O5+O7+O9</f>
        <v>3.992955671</v>
      </c>
      <c r="Q11" s="339" t="s">
        <v>144</v>
      </c>
      <c r="R11" s="133"/>
      <c r="S11" s="340">
        <f>S5+S7+S9</f>
        <v>6.769294941</v>
      </c>
      <c r="U11" s="339" t="s">
        <v>144</v>
      </c>
      <c r="V11" s="133"/>
      <c r="W11" s="340">
        <f>W5+W7+W9</f>
        <v>6.153239076</v>
      </c>
    </row>
    <row r="12" ht="14.25" customHeight="1">
      <c r="A12" s="88" t="s">
        <v>415</v>
      </c>
      <c r="B12" s="31" t="s">
        <v>416</v>
      </c>
      <c r="C12" s="31" t="s">
        <v>417</v>
      </c>
      <c r="D12" s="88" t="s">
        <v>418</v>
      </c>
      <c r="G12" s="11" t="s">
        <v>274</v>
      </c>
      <c r="H12" s="341"/>
      <c r="I12" s="341"/>
      <c r="J12" s="90">
        <v>0.2</v>
      </c>
      <c r="K12" s="90">
        <v>0.3</v>
      </c>
      <c r="L12" s="90">
        <v>0.3</v>
      </c>
      <c r="N12" s="342" t="s">
        <v>159</v>
      </c>
      <c r="O12" s="343">
        <f>O10+O8+O6</f>
        <v>1</v>
      </c>
      <c r="Q12" s="342" t="s">
        <v>159</v>
      </c>
      <c r="R12" s="232"/>
      <c r="S12" s="343">
        <f>S10+S8+S6</f>
        <v>1</v>
      </c>
      <c r="U12" s="342" t="s">
        <v>159</v>
      </c>
      <c r="V12" s="232"/>
      <c r="W12" s="343">
        <f>W10+W8+W6</f>
        <v>1</v>
      </c>
    </row>
    <row r="13" ht="14.25" customHeight="1">
      <c r="A13" s="9" t="s">
        <v>421</v>
      </c>
      <c r="B13" s="293">
        <v>0.06</v>
      </c>
      <c r="C13" s="293">
        <v>0.06</v>
      </c>
      <c r="D13" s="293">
        <v>0.89</v>
      </c>
      <c r="G13" s="344" t="s">
        <v>422</v>
      </c>
      <c r="H13" s="341"/>
      <c r="I13" s="341"/>
      <c r="J13" s="345">
        <f t="shared" ref="J13:L13" si="7">1-J12</f>
        <v>0.8</v>
      </c>
      <c r="K13" s="345">
        <f t="shared" si="7"/>
        <v>0.7</v>
      </c>
      <c r="L13" s="345">
        <f t="shared" si="7"/>
        <v>0.7</v>
      </c>
    </row>
    <row r="14" ht="14.25" customHeight="1">
      <c r="A14" s="9" t="s">
        <v>423</v>
      </c>
      <c r="B14" s="346">
        <f>E5</f>
        <v>660</v>
      </c>
      <c r="C14" s="347"/>
      <c r="D14" s="348"/>
      <c r="G14" s="145" t="s">
        <v>424</v>
      </c>
      <c r="H14" s="349"/>
      <c r="I14" s="349"/>
      <c r="J14" s="311">
        <f t="shared" ref="J14:K14" si="8">J7*J12</f>
        <v>840</v>
      </c>
      <c r="K14" s="311">
        <f t="shared" si="8"/>
        <v>1260</v>
      </c>
      <c r="L14" s="311">
        <f>L12*L7</f>
        <v>1134</v>
      </c>
    </row>
    <row r="15" ht="14.25" customHeight="1">
      <c r="A15" s="286" t="s">
        <v>425</v>
      </c>
      <c r="B15" s="350">
        <f>B14/386</f>
        <v>1.70984456</v>
      </c>
      <c r="C15" s="351"/>
      <c r="D15" s="352" t="s">
        <v>444</v>
      </c>
      <c r="E15" s="353">
        <f>B15/I21</f>
        <v>0.7722848403</v>
      </c>
      <c r="G15" s="145" t="s">
        <v>456</v>
      </c>
      <c r="H15" s="349"/>
      <c r="I15" s="349"/>
      <c r="J15" s="311">
        <f t="shared" ref="J15:K15" si="9">J12*J9</f>
        <v>16800</v>
      </c>
      <c r="K15" s="311">
        <f t="shared" si="9"/>
        <v>25200</v>
      </c>
      <c r="L15" s="311">
        <f>(L12*L9)</f>
        <v>22680</v>
      </c>
      <c r="O15" s="6" t="s">
        <v>463</v>
      </c>
    </row>
    <row r="16" ht="14.25" customHeight="1">
      <c r="A16" s="12" t="s">
        <v>399</v>
      </c>
      <c r="B16" s="12">
        <f>I7*B11</f>
        <v>6300</v>
      </c>
      <c r="C16" s="12">
        <f>H7*C11</f>
        <v>2940</v>
      </c>
      <c r="N16" s="167" t="s">
        <v>464</v>
      </c>
      <c r="O16" s="167" t="s">
        <v>187</v>
      </c>
      <c r="P16" s="167" t="s">
        <v>188</v>
      </c>
      <c r="Q16" s="167" t="s">
        <v>189</v>
      </c>
      <c r="R16" s="167" t="s">
        <v>465</v>
      </c>
      <c r="S16" s="167" t="s">
        <v>193</v>
      </c>
      <c r="T16" s="167" t="s">
        <v>195</v>
      </c>
      <c r="U16" s="167" t="s">
        <v>196</v>
      </c>
      <c r="V16" s="167" t="s">
        <v>199</v>
      </c>
      <c r="W16" s="167" t="s">
        <v>201</v>
      </c>
      <c r="X16" s="31"/>
      <c r="Y16" s="31"/>
    </row>
    <row r="17" ht="14.25" customHeight="1">
      <c r="A17" s="12" t="s">
        <v>413</v>
      </c>
      <c r="B17" s="12">
        <f>B16*B6</f>
        <v>126000</v>
      </c>
      <c r="C17" s="12">
        <f>C16*B6</f>
        <v>58800</v>
      </c>
      <c r="N17" s="167" t="s">
        <v>466</v>
      </c>
      <c r="O17" s="355">
        <v>1200.0</v>
      </c>
      <c r="P17" s="355">
        <f>O17/386</f>
        <v>3.10880829</v>
      </c>
      <c r="Q17" s="355">
        <v>0.0</v>
      </c>
      <c r="R17" s="355">
        <f>(O17/386)+B13</f>
        <v>3.16880829</v>
      </c>
      <c r="S17" s="355">
        <f>(B7/I6)+D45+D44</f>
        <v>0.04804062653</v>
      </c>
      <c r="T17" s="355">
        <v>2.18</v>
      </c>
      <c r="U17" s="355">
        <f t="shared" ref="U17:U19" si="10">R17+S17+T17</f>
        <v>5.396848917</v>
      </c>
      <c r="V17" s="355">
        <v>3.5</v>
      </c>
      <c r="W17" s="355">
        <f t="shared" ref="W17:W19" si="11">V17-U17</f>
        <v>-1.896848917</v>
      </c>
      <c r="X17" s="356"/>
      <c r="Y17" s="356"/>
    </row>
    <row r="18" ht="29.25" customHeight="1">
      <c r="A18" s="357" t="s">
        <v>467</v>
      </c>
      <c r="B18" s="243" t="s">
        <v>468</v>
      </c>
      <c r="C18" s="243" t="s">
        <v>457</v>
      </c>
      <c r="D18" s="243" t="s">
        <v>469</v>
      </c>
      <c r="G18" s="261" t="s">
        <v>470</v>
      </c>
      <c r="N18" s="167" t="s">
        <v>471</v>
      </c>
      <c r="O18" s="355">
        <v>930.0</v>
      </c>
      <c r="P18" s="355">
        <f>R18*0.7</f>
        <v>1.728528497</v>
      </c>
      <c r="Q18" s="355">
        <f>R18*0.3</f>
        <v>0.7407979275</v>
      </c>
      <c r="R18" s="355">
        <f>(O18/386)+B13</f>
        <v>2.469326425</v>
      </c>
      <c r="S18" s="355">
        <f>(B7/I6)+D45+D44</f>
        <v>0.04804062653</v>
      </c>
      <c r="T18" s="355">
        <v>2.18</v>
      </c>
      <c r="U18" s="355">
        <f t="shared" si="10"/>
        <v>4.697367051</v>
      </c>
      <c r="V18" s="355">
        <v>3.5</v>
      </c>
      <c r="W18" s="355">
        <f t="shared" si="11"/>
        <v>-1.197367051</v>
      </c>
      <c r="X18" s="356"/>
      <c r="Y18" s="356"/>
    </row>
    <row r="19" ht="32.25" customHeight="1">
      <c r="A19" s="286" t="s">
        <v>478</v>
      </c>
      <c r="B19" s="190">
        <f>'H2O IN_OUT'!H18</f>
        <v>13.70538883</v>
      </c>
      <c r="C19" s="190">
        <f>'Volatile IN_OUT'!H15</f>
        <v>6.092270725</v>
      </c>
      <c r="D19" s="190">
        <f>'Volatile IN_OUT'!H18</f>
        <v>7.729542596</v>
      </c>
      <c r="G19" s="25" t="s">
        <v>487</v>
      </c>
      <c r="H19" s="25" t="s">
        <v>488</v>
      </c>
      <c r="I19" s="25" t="s">
        <v>31</v>
      </c>
      <c r="J19" s="25" t="s">
        <v>489</v>
      </c>
      <c r="K19" s="362" t="s">
        <v>491</v>
      </c>
      <c r="L19" s="25" t="s">
        <v>492</v>
      </c>
      <c r="N19" s="167" t="s">
        <v>493</v>
      </c>
      <c r="O19" s="355">
        <v>750.0</v>
      </c>
      <c r="P19" s="355">
        <f>R19*0.5</f>
        <v>1.001502591</v>
      </c>
      <c r="Q19" s="355">
        <f>R19*0.5</f>
        <v>1.001502591</v>
      </c>
      <c r="R19" s="355">
        <f>(O19/386)+B13</f>
        <v>2.003005181</v>
      </c>
      <c r="S19" s="355">
        <f>(B7/I6)+D45+D44</f>
        <v>0.04804062653</v>
      </c>
      <c r="T19" s="355">
        <v>2.18</v>
      </c>
      <c r="U19" s="355">
        <f t="shared" si="10"/>
        <v>4.231045808</v>
      </c>
      <c r="V19" s="355">
        <v>3.5</v>
      </c>
      <c r="W19" s="355">
        <f t="shared" si="11"/>
        <v>-0.7310458079</v>
      </c>
      <c r="X19" s="356"/>
    </row>
    <row r="20" ht="21.75" customHeight="1">
      <c r="A20" s="286" t="s">
        <v>509</v>
      </c>
      <c r="B20" s="190">
        <f t="shared" ref="B20:D20" si="12">B19*J12</f>
        <v>2.741077766</v>
      </c>
      <c r="C20" s="190">
        <f t="shared" si="12"/>
        <v>1.827681217</v>
      </c>
      <c r="D20" s="190">
        <f t="shared" si="12"/>
        <v>2.318862779</v>
      </c>
      <c r="G20" s="25" t="s">
        <v>517</v>
      </c>
      <c r="H20" s="293">
        <v>12.0</v>
      </c>
      <c r="I20" s="293">
        <v>5.0</v>
      </c>
      <c r="J20" s="293">
        <v>7.5</v>
      </c>
      <c r="K20" s="293">
        <v>9.5</v>
      </c>
      <c r="L20" s="293">
        <v>9.5</v>
      </c>
      <c r="N20" s="6"/>
      <c r="P20" s="211"/>
      <c r="Q20" s="211"/>
      <c r="R20" s="211"/>
      <c r="S20" s="211"/>
      <c r="T20" s="211"/>
      <c r="U20" s="211"/>
      <c r="V20" s="211"/>
      <c r="W20" s="211"/>
      <c r="X20" s="356"/>
    </row>
    <row r="21" ht="14.25" customHeight="1">
      <c r="A21" s="368" t="s">
        <v>525</v>
      </c>
      <c r="B21" s="368">
        <f>J6*J12</f>
        <v>120</v>
      </c>
      <c r="C21" s="368">
        <f>J6*J12</f>
        <v>120</v>
      </c>
      <c r="D21" s="368">
        <f>L12*L7</f>
        <v>1134</v>
      </c>
      <c r="G21" s="369" t="s">
        <v>531</v>
      </c>
      <c r="H21" s="370">
        <f>(H2+(B7/H6))*5</f>
        <v>3.586672424</v>
      </c>
      <c r="I21" s="370">
        <f>I2+(B7/I6)+D35+D47</f>
        <v>2.21400767</v>
      </c>
      <c r="J21" s="370">
        <f>J2+(B7/J6)</f>
        <v>5.098953413</v>
      </c>
      <c r="K21" s="370">
        <f>K2+D35+D47</f>
        <v>4.374291075</v>
      </c>
      <c r="L21" s="370">
        <f>L2+D35+D47</f>
        <v>4.99034694</v>
      </c>
      <c r="N21" s="6"/>
      <c r="P21" s="211"/>
      <c r="Q21" s="211"/>
      <c r="R21" s="211"/>
      <c r="S21" s="211"/>
      <c r="T21" s="211"/>
      <c r="U21" s="211"/>
      <c r="V21" s="211"/>
      <c r="W21" s="211"/>
    </row>
    <row r="22" ht="14.25" customHeight="1">
      <c r="A22" s="12" t="s">
        <v>542</v>
      </c>
      <c r="B22" s="26">
        <f t="shared" ref="B22:D22" si="13">B21*B19</f>
        <v>1644.646659</v>
      </c>
      <c r="C22" s="26">
        <f t="shared" si="13"/>
        <v>731.072487</v>
      </c>
      <c r="D22" s="26">
        <f t="shared" si="13"/>
        <v>8765.301303</v>
      </c>
      <c r="G22" s="373" t="s">
        <v>348</v>
      </c>
      <c r="H22" s="370">
        <f t="shared" ref="H22:L22" si="14">H20-H21</f>
        <v>8.413327576</v>
      </c>
      <c r="I22" s="370">
        <f t="shared" si="14"/>
        <v>2.78599233</v>
      </c>
      <c r="J22" s="370">
        <f t="shared" si="14"/>
        <v>2.401046587</v>
      </c>
      <c r="K22" s="370">
        <f t="shared" si="14"/>
        <v>5.125708925</v>
      </c>
      <c r="L22" s="370">
        <f t="shared" si="14"/>
        <v>4.50965306</v>
      </c>
      <c r="N22" s="164" t="s">
        <v>184</v>
      </c>
      <c r="O22" s="167" t="s">
        <v>187</v>
      </c>
      <c r="P22" s="169" t="s">
        <v>550</v>
      </c>
      <c r="Q22" s="169" t="s">
        <v>551</v>
      </c>
      <c r="R22" s="167" t="s">
        <v>465</v>
      </c>
      <c r="S22" s="167" t="s">
        <v>193</v>
      </c>
      <c r="T22" s="167" t="s">
        <v>195</v>
      </c>
      <c r="U22" s="167" t="s">
        <v>196</v>
      </c>
      <c r="V22" s="167" t="s">
        <v>199</v>
      </c>
      <c r="W22" s="167" t="s">
        <v>201</v>
      </c>
    </row>
    <row r="23" ht="15.75" customHeight="1">
      <c r="A23" s="12" t="s">
        <v>553</v>
      </c>
      <c r="B23" s="311">
        <f t="shared" ref="B23:D23" si="15">J15</f>
        <v>16800</v>
      </c>
      <c r="C23" s="311">
        <f t="shared" si="15"/>
        <v>25200</v>
      </c>
      <c r="D23" s="311">
        <f t="shared" si="15"/>
        <v>22680</v>
      </c>
      <c r="G23" s="375" t="s">
        <v>558</v>
      </c>
      <c r="H23" s="376">
        <f t="shared" ref="H23:L23" si="16">H22/H20</f>
        <v>0.7011106314</v>
      </c>
      <c r="I23" s="376">
        <f t="shared" si="16"/>
        <v>0.5571984661</v>
      </c>
      <c r="J23" s="376">
        <f t="shared" si="16"/>
        <v>0.3201395449</v>
      </c>
      <c r="K23" s="376">
        <f t="shared" si="16"/>
        <v>0.5395483079</v>
      </c>
      <c r="L23" s="376">
        <f t="shared" si="16"/>
        <v>0.4747003221</v>
      </c>
      <c r="N23" s="167" t="s">
        <v>205</v>
      </c>
      <c r="O23" s="176">
        <v>750.0</v>
      </c>
      <c r="P23" s="176">
        <f>R23*0.5</f>
        <v>1.001502591</v>
      </c>
      <c r="Q23" s="176">
        <f>R23*0.5</f>
        <v>1.001502591</v>
      </c>
      <c r="R23" s="176">
        <f>(O23/386)+0.06</f>
        <v>2.003005181</v>
      </c>
      <c r="S23" s="176">
        <f>S18</f>
        <v>0.04804062653</v>
      </c>
      <c r="T23" s="176">
        <f>(D46-D43+D44)+D34</f>
        <v>0.2234295154</v>
      </c>
      <c r="U23" s="176">
        <f t="shared" ref="U23:U25" si="18">R23+S23+T23</f>
        <v>2.274475323</v>
      </c>
      <c r="V23" s="176">
        <v>2.5</v>
      </c>
      <c r="W23" s="176">
        <f t="shared" ref="W23:W25" si="19">V23-U23</f>
        <v>0.2255246767</v>
      </c>
    </row>
    <row r="24" ht="18.0" customHeight="1">
      <c r="A24" s="12" t="s">
        <v>561</v>
      </c>
      <c r="B24" s="26">
        <f t="shared" ref="B24:D24" si="17">B23*B19</f>
        <v>230250.5323</v>
      </c>
      <c r="C24" s="26">
        <f t="shared" si="17"/>
        <v>153525.2223</v>
      </c>
      <c r="D24" s="26">
        <f t="shared" si="17"/>
        <v>175306.0261</v>
      </c>
      <c r="N24" s="377" t="s">
        <v>562</v>
      </c>
      <c r="O24" s="378">
        <v>660.0</v>
      </c>
      <c r="P24" s="379">
        <f t="shared" ref="P24:P25" si="20">(R24-0.06)*0.3</f>
        <v>0.5129533679</v>
      </c>
      <c r="Q24" s="176">
        <f t="shared" ref="Q24:Q25" si="21">(R24-0.06)*0.7</f>
        <v>1.196891192</v>
      </c>
      <c r="R24" s="378">
        <f t="shared" ref="R24:R25" si="22">O24/386+0.06</f>
        <v>1.76984456</v>
      </c>
      <c r="S24" s="379">
        <f t="shared" ref="S24:S25" si="23">S18</f>
        <v>0.04804062653</v>
      </c>
      <c r="T24" s="379">
        <f t="shared" ref="T24:T25" si="24">T23</f>
        <v>0.2234295154</v>
      </c>
      <c r="U24" s="176">
        <f t="shared" si="18"/>
        <v>2.041314702</v>
      </c>
      <c r="V24" s="179">
        <v>2.5</v>
      </c>
      <c r="W24" s="176">
        <f t="shared" si="19"/>
        <v>0.4586852985</v>
      </c>
    </row>
    <row r="25" ht="16.5" customHeight="1">
      <c r="B25" s="380"/>
      <c r="N25" s="381" t="s">
        <v>227</v>
      </c>
      <c r="O25" s="378">
        <v>570.0</v>
      </c>
      <c r="P25" s="379">
        <f t="shared" si="20"/>
        <v>0.4430051813</v>
      </c>
      <c r="Q25" s="176">
        <f t="shared" si="21"/>
        <v>1.033678756</v>
      </c>
      <c r="R25" s="378">
        <f t="shared" si="22"/>
        <v>1.536683938</v>
      </c>
      <c r="S25" s="379">
        <f t="shared" si="23"/>
        <v>0.04804062653</v>
      </c>
      <c r="T25" s="379">
        <f t="shared" si="24"/>
        <v>0.2234295154</v>
      </c>
      <c r="U25" s="176">
        <f t="shared" si="18"/>
        <v>1.80815408</v>
      </c>
      <c r="V25" s="179">
        <v>2.5</v>
      </c>
      <c r="W25" s="176">
        <f t="shared" si="19"/>
        <v>0.6918459202</v>
      </c>
    </row>
    <row r="26" ht="14.25" customHeight="1">
      <c r="A26" s="380"/>
      <c r="N26" s="200" t="s">
        <v>256</v>
      </c>
      <c r="O26" s="198"/>
      <c r="P26" s="199"/>
      <c r="R26" s="200" t="s">
        <v>257</v>
      </c>
      <c r="S26" s="198"/>
      <c r="T26" s="199"/>
    </row>
    <row r="27" ht="14.25" customHeight="1">
      <c r="A27" s="382" t="s">
        <v>563</v>
      </c>
      <c r="B27" s="380">
        <f>(984*12)/2.25</f>
        <v>5248</v>
      </c>
      <c r="C27" s="380" t="s">
        <v>564</v>
      </c>
      <c r="N27" s="201"/>
      <c r="P27" s="202"/>
      <c r="R27" s="201"/>
      <c r="T27" s="202"/>
    </row>
    <row r="28" ht="14.25" customHeight="1">
      <c r="A28" s="383" t="s">
        <v>565</v>
      </c>
      <c r="B28" s="151"/>
      <c r="C28" s="151"/>
      <c r="D28" s="152"/>
      <c r="N28" s="204" t="s">
        <v>32</v>
      </c>
      <c r="O28" s="151"/>
      <c r="P28" s="205"/>
      <c r="R28" s="204" t="s">
        <v>38</v>
      </c>
      <c r="S28" s="151"/>
      <c r="T28" s="205"/>
    </row>
    <row r="29" ht="14.25" customHeight="1">
      <c r="A29" s="384" t="s">
        <v>566</v>
      </c>
      <c r="B29" s="151"/>
      <c r="C29" s="151"/>
      <c r="D29" s="152"/>
      <c r="N29" s="206" t="s">
        <v>268</v>
      </c>
      <c r="O29" s="49"/>
      <c r="P29" s="207"/>
      <c r="R29" s="206" t="s">
        <v>268</v>
      </c>
      <c r="S29" s="49"/>
      <c r="T29" s="207"/>
      <c r="V29" s="302" t="s">
        <v>355</v>
      </c>
      <c r="W29" s="151"/>
      <c r="X29" s="205"/>
    </row>
    <row r="30" ht="14.25" customHeight="1">
      <c r="A30" s="385" t="s">
        <v>462</v>
      </c>
      <c r="B30" s="88" t="s">
        <v>567</v>
      </c>
      <c r="C30" s="88" t="s">
        <v>568</v>
      </c>
      <c r="D30" s="88" t="s">
        <v>18</v>
      </c>
      <c r="F30" s="21" t="s">
        <v>569</v>
      </c>
      <c r="N30" s="208" t="s">
        <v>271</v>
      </c>
      <c r="O30" s="70"/>
      <c r="P30" s="209">
        <f>R24+S24</f>
        <v>1.817885186</v>
      </c>
      <c r="R30" s="210" t="s">
        <v>73</v>
      </c>
      <c r="S30" s="72"/>
      <c r="T30" s="209">
        <f>R24+S24</f>
        <v>1.817885186</v>
      </c>
      <c r="V30" s="206" t="s">
        <v>290</v>
      </c>
      <c r="W30" s="49"/>
      <c r="X30" s="207"/>
      <c r="Y30" s="386"/>
    </row>
    <row r="31" ht="14.25" customHeight="1">
      <c r="A31" s="88" t="s">
        <v>570</v>
      </c>
      <c r="D31" s="387">
        <f t="array" ref="D31">IFS(A30="Plastic Tube",0,A30="Glass Tube",0.07)</f>
        <v>0.07</v>
      </c>
      <c r="F31" s="21" t="s">
        <v>571</v>
      </c>
      <c r="N31" s="213" t="s">
        <v>87</v>
      </c>
      <c r="O31" s="214"/>
      <c r="P31" s="215">
        <f>P30/P39</f>
        <v>0.4212213505</v>
      </c>
      <c r="R31" s="216" t="s">
        <v>87</v>
      </c>
      <c r="S31" s="217"/>
      <c r="T31" s="215">
        <f>T30/T39</f>
        <v>0.4756911157</v>
      </c>
      <c r="V31" s="208" t="s">
        <v>271</v>
      </c>
      <c r="W31" s="70"/>
      <c r="X31" s="209">
        <f>R25+S25</f>
        <v>1.584724564</v>
      </c>
    </row>
    <row r="32" ht="14.25" customHeight="1">
      <c r="A32" s="88" t="s">
        <v>572</v>
      </c>
      <c r="B32" s="359">
        <f t="array" ref="B32">IFS(A30="Plastic Tube",91.96,A30="Glass Tube",695.68)</f>
        <v>695.68</v>
      </c>
      <c r="C32" s="359">
        <f t="array" ref="C32">IFS(A30="Plastic Tube",11.495,A30="Glass Tube",86.96)</f>
        <v>86.96</v>
      </c>
      <c r="D32" s="387">
        <f t="array" ref="D32">IFS(A30="Plastic Tube",0.009,A30="Glass Tube",0.022)</f>
        <v>0.022</v>
      </c>
      <c r="N32" s="218" t="s">
        <v>274</v>
      </c>
      <c r="O32" s="219"/>
      <c r="P32" s="320">
        <v>0.3</v>
      </c>
      <c r="R32" s="218" t="s">
        <v>274</v>
      </c>
      <c r="S32" s="219"/>
      <c r="T32" s="220">
        <v>0.3</v>
      </c>
      <c r="V32" s="213" t="s">
        <v>87</v>
      </c>
      <c r="W32" s="214"/>
      <c r="X32" s="215">
        <f>X31/X42</f>
        <v>0.4021734179</v>
      </c>
    </row>
    <row r="33" ht="14.25" customHeight="1">
      <c r="A33" s="88" t="s">
        <v>573</v>
      </c>
      <c r="B33" s="388">
        <f t="array" ref="B33">IFS(A30="Plastic Tube",68.82,A30="Glass Tube",1171.51)</f>
        <v>1171.51</v>
      </c>
      <c r="C33" s="359">
        <f>B33/12</f>
        <v>97.62583333</v>
      </c>
      <c r="D33" s="387">
        <f>C33/B27</f>
        <v>0.01860248349</v>
      </c>
      <c r="N33" s="221" t="s">
        <v>574</v>
      </c>
      <c r="O33" s="222"/>
      <c r="P33" s="223">
        <f>D19*P32</f>
        <v>2.318862779</v>
      </c>
      <c r="R33" s="221" t="s">
        <v>575</v>
      </c>
      <c r="S33" s="222"/>
      <c r="T33" s="223">
        <f>C19*T32</f>
        <v>1.827681217</v>
      </c>
      <c r="V33" s="218" t="s">
        <v>274</v>
      </c>
      <c r="W33" s="219"/>
      <c r="X33" s="220">
        <v>0.3</v>
      </c>
    </row>
    <row r="34" ht="14.25" customHeight="1">
      <c r="A34" s="88" t="s">
        <v>576</v>
      </c>
      <c r="B34" s="389"/>
      <c r="C34" s="389"/>
      <c r="D34" s="387">
        <f t="array" ref="D34">IFS(A30="Plastic Tube",0.055,A30="Glass Tube",0.21)</f>
        <v>0.21</v>
      </c>
      <c r="N34" s="208" t="s">
        <v>276</v>
      </c>
      <c r="O34" s="70"/>
      <c r="P34" s="224">
        <f>P33/P39</f>
        <v>0.5373026408</v>
      </c>
      <c r="R34" s="208" t="s">
        <v>277</v>
      </c>
      <c r="S34" s="70"/>
      <c r="T34" s="224">
        <f>T33/T39</f>
        <v>0.4782544707</v>
      </c>
      <c r="V34" s="323" t="s">
        <v>384</v>
      </c>
      <c r="W34" s="219"/>
      <c r="X34" s="326">
        <v>0.1</v>
      </c>
    </row>
    <row r="35" ht="14.25" customHeight="1">
      <c r="A35" s="286" t="s">
        <v>577</v>
      </c>
      <c r="B35" s="190">
        <f t="shared" ref="B35:C35" si="25">SUM(B32:B34)</f>
        <v>1867.19</v>
      </c>
      <c r="C35" s="190">
        <f t="shared" si="25"/>
        <v>184.5858333</v>
      </c>
      <c r="D35" s="390">
        <f>SUM(D31:D34)</f>
        <v>0.3206024835</v>
      </c>
      <c r="N35" s="208" t="s">
        <v>95</v>
      </c>
      <c r="O35" s="70"/>
      <c r="P35" s="209">
        <v>0.113</v>
      </c>
      <c r="R35" s="208" t="s">
        <v>95</v>
      </c>
      <c r="S35" s="70"/>
      <c r="T35" s="209">
        <v>0.11</v>
      </c>
      <c r="V35" s="323" t="s">
        <v>385</v>
      </c>
      <c r="W35" s="219"/>
      <c r="X35" s="334">
        <v>2.99</v>
      </c>
    </row>
    <row r="36" ht="14.25" customHeight="1">
      <c r="A36" s="88" t="s">
        <v>0</v>
      </c>
      <c r="C36" s="352" t="s">
        <v>444</v>
      </c>
      <c r="D36" s="343">
        <f>D35/I21</f>
        <v>0.1448064015</v>
      </c>
      <c r="N36" s="208" t="s">
        <v>106</v>
      </c>
      <c r="O36" s="70"/>
      <c r="P36" s="225">
        <f>P35/P39</f>
        <v>0.02618317866</v>
      </c>
      <c r="R36" s="208" t="s">
        <v>106</v>
      </c>
      <c r="S36" s="70"/>
      <c r="T36" s="225">
        <f>T35/T39</f>
        <v>0.02878400854</v>
      </c>
      <c r="V36" s="221" t="s">
        <v>578</v>
      </c>
      <c r="W36" s="222"/>
      <c r="X36" s="223">
        <f>(((D19)*(1-X34))+(X34*X35))*X33</f>
        <v>2.176676501</v>
      </c>
    </row>
    <row r="37" ht="14.25" customHeight="1">
      <c r="A37" s="384" t="s">
        <v>579</v>
      </c>
      <c r="B37" s="151"/>
      <c r="C37" s="151"/>
      <c r="D37" s="152"/>
      <c r="N37" s="208" t="s">
        <v>114</v>
      </c>
      <c r="O37" s="70"/>
      <c r="P37" s="391">
        <v>0.066</v>
      </c>
      <c r="R37" s="208" t="s">
        <v>114</v>
      </c>
      <c r="S37" s="70"/>
      <c r="T37" s="391">
        <v>0.066</v>
      </c>
      <c r="V37" s="208" t="s">
        <v>276</v>
      </c>
      <c r="W37" s="70"/>
      <c r="X37" s="224">
        <f>X36/X42</f>
        <v>0.5523997341</v>
      </c>
    </row>
    <row r="38" ht="14.25" customHeight="1">
      <c r="A38" s="6" t="s">
        <v>580</v>
      </c>
      <c r="B38" s="31" t="s">
        <v>581</v>
      </c>
      <c r="C38" s="88" t="s">
        <v>582</v>
      </c>
      <c r="D38" s="88" t="s">
        <v>583</v>
      </c>
      <c r="E38" s="392" t="s">
        <v>584</v>
      </c>
      <c r="N38" s="208" t="s">
        <v>128</v>
      </c>
      <c r="O38" s="70"/>
      <c r="P38" s="225">
        <f>P37/P39</f>
        <v>0.01529283001</v>
      </c>
      <c r="R38" s="208" t="s">
        <v>128</v>
      </c>
      <c r="S38" s="70"/>
      <c r="T38" s="225">
        <f>T37/T39</f>
        <v>0.01727040512</v>
      </c>
      <c r="V38" s="208" t="s">
        <v>95</v>
      </c>
      <c r="W38" s="70"/>
      <c r="X38" s="209">
        <v>0.113</v>
      </c>
    </row>
    <row r="39" ht="14.25" customHeight="1">
      <c r="A39" s="88" t="s">
        <v>585</v>
      </c>
      <c r="B39" s="393">
        <v>0.14</v>
      </c>
      <c r="C39" s="359">
        <f t="shared" ref="C39:C46" si="26">B39*18</f>
        <v>2.52</v>
      </c>
      <c r="D39" s="387">
        <f t="shared" ref="D39:D45" si="27">C39/1000</f>
        <v>0.00252</v>
      </c>
      <c r="E39" s="394">
        <f>D39/D47</f>
        <v>0.02725812016</v>
      </c>
      <c r="N39" s="229" t="s">
        <v>144</v>
      </c>
      <c r="O39" s="133"/>
      <c r="P39" s="230">
        <f>P30+P35+P37+P33</f>
        <v>4.315747965</v>
      </c>
      <c r="R39" s="229" t="s">
        <v>144</v>
      </c>
      <c r="S39" s="133"/>
      <c r="T39" s="230">
        <f>T30+T35+T37+T33</f>
        <v>3.821566404</v>
      </c>
      <c r="V39" s="208" t="s">
        <v>106</v>
      </c>
      <c r="W39" s="70"/>
      <c r="X39" s="225">
        <f>X38/X42</f>
        <v>0.02867728389</v>
      </c>
    </row>
    <row r="40" ht="14.25" customHeight="1">
      <c r="A40" s="395" t="s">
        <v>586</v>
      </c>
      <c r="B40" s="393">
        <f>(5/60)*4</f>
        <v>0.3333333333</v>
      </c>
      <c r="C40" s="359">
        <f t="shared" si="26"/>
        <v>6</v>
      </c>
      <c r="D40" s="387">
        <f t="shared" si="27"/>
        <v>0.006</v>
      </c>
      <c r="E40" s="394">
        <f>D40/D47</f>
        <v>0.06490028609</v>
      </c>
      <c r="N40" s="231" t="s">
        <v>159</v>
      </c>
      <c r="O40" s="232"/>
      <c r="P40" s="233">
        <f>P38+P36+P31+P34</f>
        <v>1</v>
      </c>
      <c r="R40" s="231" t="s">
        <v>159</v>
      </c>
      <c r="S40" s="232"/>
      <c r="T40" s="233">
        <f>T38+T36+T31+T34</f>
        <v>1</v>
      </c>
      <c r="V40" s="208" t="s">
        <v>114</v>
      </c>
      <c r="W40" s="70"/>
      <c r="X40" s="391">
        <v>0.066</v>
      </c>
    </row>
    <row r="41" ht="14.25" customHeight="1">
      <c r="A41" s="88" t="s">
        <v>587</v>
      </c>
      <c r="B41" s="393">
        <f>(13/60)*10</f>
        <v>2.166666667</v>
      </c>
      <c r="C41" s="359">
        <f t="shared" si="26"/>
        <v>39</v>
      </c>
      <c r="D41" s="387">
        <f t="shared" si="27"/>
        <v>0.039</v>
      </c>
      <c r="E41" s="394">
        <f>D41/D47</f>
        <v>0.4218518596</v>
      </c>
      <c r="N41" s="236"/>
      <c r="P41" s="237"/>
      <c r="R41" s="236"/>
      <c r="T41" s="237"/>
      <c r="V41" s="208" t="s">
        <v>128</v>
      </c>
      <c r="W41" s="70"/>
      <c r="X41" s="225">
        <f>X40/X42</f>
        <v>0.01674956404</v>
      </c>
    </row>
    <row r="42" ht="14.25" customHeight="1">
      <c r="A42" s="88" t="s">
        <v>588</v>
      </c>
      <c r="B42" s="393">
        <v>0.75</v>
      </c>
      <c r="C42" s="359">
        <f t="shared" si="26"/>
        <v>13.5</v>
      </c>
      <c r="D42" s="387">
        <f t="shared" si="27"/>
        <v>0.0135</v>
      </c>
      <c r="E42" s="394">
        <f>D42/D47</f>
        <v>0.1460256437</v>
      </c>
      <c r="N42" s="204" t="s">
        <v>32</v>
      </c>
      <c r="O42" s="151"/>
      <c r="P42" s="205"/>
      <c r="R42" s="204" t="s">
        <v>38</v>
      </c>
      <c r="S42" s="151"/>
      <c r="T42" s="205"/>
      <c r="V42" s="282" t="s">
        <v>144</v>
      </c>
      <c r="W42" s="283"/>
      <c r="X42" s="230">
        <f>X31+X38+X40+X36</f>
        <v>3.940401065</v>
      </c>
    </row>
    <row r="43" ht="14.25" customHeight="1">
      <c r="A43" s="88" t="s">
        <v>589</v>
      </c>
      <c r="B43" s="393">
        <v>0.25</v>
      </c>
      <c r="C43" s="359">
        <f t="shared" si="26"/>
        <v>4.5</v>
      </c>
      <c r="D43" s="387">
        <f t="shared" si="27"/>
        <v>0.0045</v>
      </c>
      <c r="E43" s="394">
        <f>D43/D47</f>
        <v>0.04867521457</v>
      </c>
      <c r="N43" s="206" t="s">
        <v>290</v>
      </c>
      <c r="O43" s="49"/>
      <c r="P43" s="207"/>
      <c r="R43" s="206" t="s">
        <v>290</v>
      </c>
      <c r="S43" s="49"/>
      <c r="T43" s="207"/>
      <c r="V43" s="288" t="s">
        <v>159</v>
      </c>
      <c r="W43" s="290"/>
      <c r="X43" s="292">
        <f>X41+X39+X32+X37</f>
        <v>1</v>
      </c>
    </row>
    <row r="44" ht="14.25" customHeight="1">
      <c r="A44" s="88" t="s">
        <v>590</v>
      </c>
      <c r="B44" s="393">
        <f>((1000/2270)*60)/60</f>
        <v>0.4405286344</v>
      </c>
      <c r="C44" s="359">
        <f t="shared" si="26"/>
        <v>7.929515419</v>
      </c>
      <c r="D44" s="387">
        <f t="shared" si="27"/>
        <v>0.007929515419</v>
      </c>
      <c r="E44" s="394">
        <f>D44/D47</f>
        <v>0.08577130321</v>
      </c>
      <c r="N44" s="208" t="s">
        <v>271</v>
      </c>
      <c r="O44" s="70"/>
      <c r="P44" s="209">
        <f>R25+S25</f>
        <v>1.584724564</v>
      </c>
      <c r="R44" s="210" t="s">
        <v>73</v>
      </c>
      <c r="S44" s="72"/>
      <c r="T44" s="209">
        <f>R25+S25</f>
        <v>1.584724564</v>
      </c>
    </row>
    <row r="45" ht="14.25" customHeight="1">
      <c r="A45" s="88" t="s">
        <v>591</v>
      </c>
      <c r="B45" s="393">
        <v>0.5</v>
      </c>
      <c r="C45" s="359">
        <f t="shared" si="26"/>
        <v>9</v>
      </c>
      <c r="D45" s="387">
        <f t="shared" si="27"/>
        <v>0.009</v>
      </c>
      <c r="E45" s="394">
        <f>D45/D47</f>
        <v>0.09735042914</v>
      </c>
      <c r="N45" s="213" t="s">
        <v>87</v>
      </c>
      <c r="O45" s="214"/>
      <c r="P45" s="215">
        <f>P44/P53</f>
        <v>0.3881667264</v>
      </c>
      <c r="R45" s="216" t="s">
        <v>87</v>
      </c>
      <c r="S45" s="217"/>
      <c r="T45" s="215">
        <f>T44/T53</f>
        <v>0.4416235679</v>
      </c>
    </row>
    <row r="46" ht="14.25" customHeight="1">
      <c r="A46" s="21" t="s">
        <v>592</v>
      </c>
      <c r="B46" s="393">
        <f>((1000/300)*10)/60</f>
        <v>0.5555555556</v>
      </c>
      <c r="C46" s="359">
        <f t="shared" si="26"/>
        <v>10</v>
      </c>
      <c r="D46" s="387">
        <f t="array" ref="D46">IFS(A30="Plastic Tube",0,A30="Glass Tube",0.01)</f>
        <v>0.01</v>
      </c>
      <c r="E46" s="394">
        <f>D46/D47</f>
        <v>0.1081671435</v>
      </c>
      <c r="N46" s="218" t="s">
        <v>274</v>
      </c>
      <c r="O46" s="219"/>
      <c r="P46" s="220">
        <v>0.3</v>
      </c>
      <c r="R46" s="218" t="s">
        <v>274</v>
      </c>
      <c r="S46" s="219"/>
      <c r="T46" s="220">
        <v>0.3</v>
      </c>
    </row>
    <row r="47" ht="14.25" customHeight="1">
      <c r="A47" s="286" t="s">
        <v>593</v>
      </c>
      <c r="B47" s="396">
        <f t="shared" ref="B47:E47" si="28">SUM(B39:B46)</f>
        <v>5.13608419</v>
      </c>
      <c r="C47" s="190">
        <f t="shared" si="28"/>
        <v>92.44951542</v>
      </c>
      <c r="D47" s="390">
        <f t="shared" si="28"/>
        <v>0.09244951542</v>
      </c>
      <c r="E47" s="394">
        <f t="shared" si="28"/>
        <v>1</v>
      </c>
      <c r="G47" s="6"/>
      <c r="H47" s="6"/>
      <c r="I47" s="6"/>
      <c r="J47" s="6"/>
      <c r="K47" s="6"/>
      <c r="L47" s="6"/>
      <c r="M47" s="6"/>
      <c r="N47" s="221" t="s">
        <v>594</v>
      </c>
      <c r="O47" s="222"/>
      <c r="P47" s="223">
        <f>D19*P46</f>
        <v>2.318862779</v>
      </c>
      <c r="Q47" s="6"/>
      <c r="R47" s="221" t="s">
        <v>595</v>
      </c>
      <c r="S47" s="222"/>
      <c r="T47" s="223">
        <f>C19*T46</f>
        <v>1.827681217</v>
      </c>
      <c r="U47" s="6"/>
      <c r="V47" s="6"/>
      <c r="W47" s="6"/>
      <c r="X47" s="6"/>
      <c r="Y47" s="6"/>
      <c r="Z47" s="6"/>
    </row>
    <row r="48" ht="14.25" customHeight="1">
      <c r="A48" s="88" t="s">
        <v>596</v>
      </c>
      <c r="C48" s="352" t="s">
        <v>444</v>
      </c>
      <c r="D48" s="397">
        <f>D47/I21</f>
        <v>0.04175663738</v>
      </c>
      <c r="N48" s="208" t="s">
        <v>276</v>
      </c>
      <c r="O48" s="70"/>
      <c r="P48" s="224">
        <f>P47/P53</f>
        <v>0.5679885288</v>
      </c>
      <c r="R48" s="208" t="s">
        <v>277</v>
      </c>
      <c r="S48" s="70"/>
      <c r="T48" s="224">
        <f>T47/T53</f>
        <v>0.5093295822</v>
      </c>
    </row>
    <row r="49" ht="14.25" customHeight="1">
      <c r="N49" s="208" t="s">
        <v>95</v>
      </c>
      <c r="O49" s="70"/>
      <c r="P49" s="209">
        <v>0.113</v>
      </c>
      <c r="R49" s="208" t="s">
        <v>95</v>
      </c>
      <c r="S49" s="70"/>
      <c r="T49" s="209">
        <v>0.11</v>
      </c>
    </row>
    <row r="50" ht="14.25" customHeight="1">
      <c r="N50" s="208" t="s">
        <v>106</v>
      </c>
      <c r="O50" s="70"/>
      <c r="P50" s="225">
        <f>P49/P53</f>
        <v>0.02767852602</v>
      </c>
      <c r="R50" s="208" t="s">
        <v>106</v>
      </c>
      <c r="S50" s="70"/>
      <c r="T50" s="225">
        <f>T49/T53</f>
        <v>0.03065428123</v>
      </c>
    </row>
    <row r="51" ht="14.25" customHeight="1">
      <c r="N51" s="208" t="s">
        <v>114</v>
      </c>
      <c r="O51" s="70"/>
      <c r="P51" s="391">
        <v>0.066</v>
      </c>
      <c r="R51" s="208" t="s">
        <v>114</v>
      </c>
      <c r="S51" s="70"/>
      <c r="T51" s="391">
        <v>0.066</v>
      </c>
    </row>
    <row r="52" ht="14.25" customHeight="1">
      <c r="N52" s="208" t="s">
        <v>128</v>
      </c>
      <c r="O52" s="70"/>
      <c r="P52" s="225">
        <f>P51/P53</f>
        <v>0.01616621874</v>
      </c>
      <c r="R52" s="208" t="s">
        <v>128</v>
      </c>
      <c r="S52" s="70"/>
      <c r="T52" s="225">
        <f>T51/T53</f>
        <v>0.01839256874</v>
      </c>
    </row>
    <row r="53" ht="14.25" customHeight="1">
      <c r="N53" s="282" t="s">
        <v>144</v>
      </c>
      <c r="O53" s="283"/>
      <c r="P53" s="230">
        <f>P44+P49+P51+P47</f>
        <v>4.082587343</v>
      </c>
      <c r="R53" s="282" t="s">
        <v>144</v>
      </c>
      <c r="S53" s="283"/>
      <c r="T53" s="230">
        <f>T44+T49+T51+T47</f>
        <v>3.588405782</v>
      </c>
    </row>
    <row r="54" ht="14.25" customHeight="1">
      <c r="N54" s="288" t="s">
        <v>159</v>
      </c>
      <c r="O54" s="290"/>
      <c r="P54" s="292">
        <f>P52+P50+P45+P48</f>
        <v>1</v>
      </c>
      <c r="R54" s="288" t="s">
        <v>159</v>
      </c>
      <c r="S54" s="290"/>
      <c r="T54" s="292">
        <f>T52+T50+T45+T48</f>
        <v>1</v>
      </c>
    </row>
    <row r="55" ht="14.25" customHeight="1"/>
    <row r="56" ht="14.25" customHeight="1"/>
    <row r="57" ht="14.25" customHeight="1">
      <c r="J57" s="398" t="s">
        <v>597</v>
      </c>
      <c r="K57" s="198"/>
      <c r="L57" s="198"/>
      <c r="M57" s="399"/>
      <c r="N57" s="400"/>
      <c r="O57" s="401"/>
      <c r="P57" s="402"/>
    </row>
    <row r="58" ht="14.25" customHeight="1">
      <c r="J58" s="403" t="s">
        <v>598</v>
      </c>
      <c r="K58" s="404">
        <v>5.0</v>
      </c>
      <c r="L58" s="405" t="s">
        <v>599</v>
      </c>
      <c r="M58" s="406"/>
      <c r="N58" s="407" t="s">
        <v>600</v>
      </c>
      <c r="O58" s="151"/>
      <c r="P58" s="205"/>
    </row>
    <row r="59" ht="14.25" customHeight="1">
      <c r="J59" s="403" t="s">
        <v>601</v>
      </c>
      <c r="K59" s="404">
        <v>2.99</v>
      </c>
      <c r="L59" s="405" t="s">
        <v>57</v>
      </c>
      <c r="M59" s="406"/>
      <c r="N59" s="408" t="s">
        <v>602</v>
      </c>
      <c r="O59" s="49"/>
      <c r="P59" s="207"/>
    </row>
    <row r="60" ht="14.25" customHeight="1">
      <c r="J60" s="403" t="s">
        <v>603</v>
      </c>
      <c r="K60" s="404">
        <v>0.89</v>
      </c>
      <c r="L60" s="405" t="s">
        <v>57</v>
      </c>
      <c r="M60" s="406"/>
      <c r="N60" s="409" t="s">
        <v>271</v>
      </c>
      <c r="O60" s="70"/>
      <c r="P60" s="209">
        <f>(R24*0.8)+S24</f>
        <v>1.463916274</v>
      </c>
    </row>
    <row r="61" ht="14.25" customHeight="1">
      <c r="J61" s="410"/>
      <c r="K61" s="276"/>
      <c r="L61" s="276"/>
      <c r="M61" s="406"/>
      <c r="N61" s="411" t="s">
        <v>87</v>
      </c>
      <c r="O61" s="214"/>
      <c r="P61" s="215">
        <f>P60/P69</f>
        <v>0.5674058295</v>
      </c>
    </row>
    <row r="62" ht="14.25" customHeight="1">
      <c r="J62" s="403" t="s">
        <v>604</v>
      </c>
      <c r="K62" s="412">
        <v>0.03</v>
      </c>
      <c r="L62" s="413"/>
      <c r="M62" s="406"/>
      <c r="N62" s="414" t="s">
        <v>274</v>
      </c>
      <c r="O62" s="219"/>
      <c r="P62" s="320">
        <v>0.2</v>
      </c>
    </row>
    <row r="63" ht="14.25" customHeight="1">
      <c r="J63" s="403" t="s">
        <v>605</v>
      </c>
      <c r="K63" s="412">
        <v>0.07</v>
      </c>
      <c r="L63" s="413"/>
      <c r="M63" s="406"/>
      <c r="N63" s="415" t="s">
        <v>606</v>
      </c>
      <c r="O63" s="222"/>
      <c r="P63" s="223">
        <f>K70*P62</f>
        <v>0.9304</v>
      </c>
    </row>
    <row r="64" ht="14.25" customHeight="1">
      <c r="J64" s="416" t="s">
        <v>607</v>
      </c>
      <c r="K64" s="417">
        <f>K62+K63</f>
        <v>0.1</v>
      </c>
      <c r="L64" s="418"/>
      <c r="M64" s="406"/>
      <c r="N64" s="409" t="s">
        <v>276</v>
      </c>
      <c r="O64" s="70"/>
      <c r="P64" s="224">
        <f>P63/P69</f>
        <v>0.3606178803</v>
      </c>
    </row>
    <row r="65" ht="14.25" customHeight="1">
      <c r="J65" s="419"/>
      <c r="M65" s="406"/>
      <c r="N65" s="409" t="s">
        <v>95</v>
      </c>
      <c r="O65" s="70"/>
      <c r="P65" s="209">
        <f>0.113+0.0067</f>
        <v>0.1197</v>
      </c>
    </row>
    <row r="66" ht="14.25" customHeight="1">
      <c r="J66" s="420" t="s">
        <v>608</v>
      </c>
      <c r="K66" s="421">
        <f>K62*K59</f>
        <v>0.0897</v>
      </c>
      <c r="L66" s="418"/>
      <c r="M66" s="406"/>
      <c r="N66" s="409" t="s">
        <v>106</v>
      </c>
      <c r="O66" s="70"/>
      <c r="P66" s="225">
        <f>P65/P69</f>
        <v>0.04639505619</v>
      </c>
    </row>
    <row r="67" ht="14.25" customHeight="1">
      <c r="J67" s="420" t="s">
        <v>609</v>
      </c>
      <c r="K67" s="421">
        <f>K60*K63</f>
        <v>0.0623</v>
      </c>
      <c r="L67" s="418"/>
      <c r="M67" s="406"/>
      <c r="N67" s="409" t="s">
        <v>114</v>
      </c>
      <c r="O67" s="70"/>
      <c r="P67" s="391">
        <v>0.066</v>
      </c>
    </row>
    <row r="68" ht="14.25" customHeight="1">
      <c r="J68" s="420" t="s">
        <v>610</v>
      </c>
      <c r="K68" s="421">
        <f>K66+K67</f>
        <v>0.152</v>
      </c>
      <c r="L68" s="418"/>
      <c r="M68" s="406"/>
      <c r="N68" s="409" t="s">
        <v>128</v>
      </c>
      <c r="O68" s="70"/>
      <c r="P68" s="225">
        <f>P67/P69</f>
        <v>0.02558123399</v>
      </c>
    </row>
    <row r="69" ht="14.25" customHeight="1">
      <c r="J69" s="422"/>
      <c r="K69" s="418"/>
      <c r="L69" s="418"/>
      <c r="M69" s="406"/>
      <c r="N69" s="423" t="s">
        <v>144</v>
      </c>
      <c r="O69" s="283"/>
      <c r="P69" s="230">
        <f>(P60)+P65+P67+P63</f>
        <v>2.580016274</v>
      </c>
    </row>
    <row r="70" ht="14.25" customHeight="1">
      <c r="J70" s="424" t="s">
        <v>611</v>
      </c>
      <c r="K70" s="425">
        <f>(K58*(1-K64))+K68</f>
        <v>4.652</v>
      </c>
      <c r="L70" s="426" t="s">
        <v>57</v>
      </c>
      <c r="M70" s="427"/>
      <c r="N70" s="428" t="s">
        <v>159</v>
      </c>
      <c r="O70" s="290"/>
      <c r="P70" s="292">
        <f>P68+P66+P61+P64</f>
        <v>1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4">
    <mergeCell ref="N33:O33"/>
    <mergeCell ref="N34:O34"/>
    <mergeCell ref="N35:O35"/>
    <mergeCell ref="N36:O36"/>
    <mergeCell ref="A37:D37"/>
    <mergeCell ref="N37:O37"/>
    <mergeCell ref="N38:O38"/>
    <mergeCell ref="R32:S32"/>
    <mergeCell ref="R33:S33"/>
    <mergeCell ref="R34:S34"/>
    <mergeCell ref="R35:S35"/>
    <mergeCell ref="R36:S36"/>
    <mergeCell ref="R37:S37"/>
    <mergeCell ref="R38:S38"/>
    <mergeCell ref="R46:S46"/>
    <mergeCell ref="R47:S47"/>
    <mergeCell ref="N42:P42"/>
    <mergeCell ref="R42:T42"/>
    <mergeCell ref="N43:P43"/>
    <mergeCell ref="R43:T43"/>
    <mergeCell ref="N44:O44"/>
    <mergeCell ref="N46:O46"/>
    <mergeCell ref="N47:O47"/>
    <mergeCell ref="R52:S52"/>
    <mergeCell ref="R53:S53"/>
    <mergeCell ref="R54:S54"/>
    <mergeCell ref="N48:O48"/>
    <mergeCell ref="R48:S48"/>
    <mergeCell ref="N49:O49"/>
    <mergeCell ref="R49:S49"/>
    <mergeCell ref="N50:O50"/>
    <mergeCell ref="R50:S50"/>
    <mergeCell ref="R51:S51"/>
    <mergeCell ref="N51:O51"/>
    <mergeCell ref="N52:O52"/>
    <mergeCell ref="N53:O53"/>
    <mergeCell ref="N54:O54"/>
    <mergeCell ref="J57:L57"/>
    <mergeCell ref="N58:P58"/>
    <mergeCell ref="N59:P59"/>
    <mergeCell ref="N68:O68"/>
    <mergeCell ref="N69:O69"/>
    <mergeCell ref="N70:O70"/>
    <mergeCell ref="N60:O60"/>
    <mergeCell ref="N62:O62"/>
    <mergeCell ref="N63:O63"/>
    <mergeCell ref="N64:O64"/>
    <mergeCell ref="N65:O65"/>
    <mergeCell ref="N66:O66"/>
    <mergeCell ref="N67:O67"/>
    <mergeCell ref="A3:C3"/>
    <mergeCell ref="N3:O3"/>
    <mergeCell ref="Q3:S3"/>
    <mergeCell ref="U3:W3"/>
    <mergeCell ref="N4:O4"/>
    <mergeCell ref="Q4:S4"/>
    <mergeCell ref="U4:W4"/>
    <mergeCell ref="Q8:R8"/>
    <mergeCell ref="N26:P27"/>
    <mergeCell ref="R26:T27"/>
    <mergeCell ref="R28:T28"/>
    <mergeCell ref="R29:T29"/>
    <mergeCell ref="N30:O30"/>
    <mergeCell ref="Q5:R5"/>
    <mergeCell ref="Q6:R6"/>
    <mergeCell ref="Q7:R7"/>
    <mergeCell ref="U7:V7"/>
    <mergeCell ref="U8:V8"/>
    <mergeCell ref="U9:V9"/>
    <mergeCell ref="U10:V10"/>
    <mergeCell ref="Q9:R9"/>
    <mergeCell ref="A10:D10"/>
    <mergeCell ref="Q10:R10"/>
    <mergeCell ref="B14:D14"/>
    <mergeCell ref="B15:C15"/>
    <mergeCell ref="A28:D28"/>
    <mergeCell ref="A29:D29"/>
    <mergeCell ref="N28:P28"/>
    <mergeCell ref="N29:P29"/>
    <mergeCell ref="V29:X29"/>
    <mergeCell ref="V30:X30"/>
    <mergeCell ref="V31:W31"/>
    <mergeCell ref="N32:O32"/>
    <mergeCell ref="V33:W33"/>
    <mergeCell ref="V41:W41"/>
    <mergeCell ref="V42:W42"/>
    <mergeCell ref="V43:W43"/>
    <mergeCell ref="V34:W34"/>
    <mergeCell ref="V35:W35"/>
    <mergeCell ref="V36:W36"/>
    <mergeCell ref="V37:W37"/>
    <mergeCell ref="V38:W38"/>
    <mergeCell ref="V39:W39"/>
    <mergeCell ref="V40:W40"/>
  </mergeCells>
  <dataValidations>
    <dataValidation type="list" allowBlank="1" showErrorMessage="1" sqref="A30">
      <formula1>'Sku list '!$A$13:$A$14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25.43"/>
    <col customWidth="1" min="2" max="2" width="17.43"/>
    <col customWidth="1" min="4" max="4" width="25.86"/>
    <col customWidth="1" min="5" max="5" width="29.29"/>
    <col customWidth="1" min="7" max="7" width="18.86"/>
    <col customWidth="1" min="11" max="11" width="32.86"/>
    <col customWidth="1" min="12" max="12" width="15.57"/>
    <col customWidth="1" min="14" max="14" width="33.43"/>
  </cols>
  <sheetData>
    <row r="1">
      <c r="A1" s="246" t="s">
        <v>300</v>
      </c>
    </row>
    <row r="2">
      <c r="A2" s="21" t="s">
        <v>302</v>
      </c>
      <c r="D2" s="21" t="s">
        <v>303</v>
      </c>
      <c r="K2" s="21" t="s">
        <v>304</v>
      </c>
      <c r="N2" s="21" t="s">
        <v>305</v>
      </c>
    </row>
    <row r="3">
      <c r="A3" s="247" t="s">
        <v>306</v>
      </c>
      <c r="B3" s="248">
        <v>1200.0</v>
      </c>
      <c r="D3" s="249" t="s">
        <v>307</v>
      </c>
      <c r="E3" s="249" t="s">
        <v>309</v>
      </c>
      <c r="G3" s="251" t="s">
        <v>310</v>
      </c>
      <c r="K3" s="2" t="s">
        <v>1</v>
      </c>
      <c r="L3" s="4"/>
      <c r="N3" s="234" t="s">
        <v>283</v>
      </c>
      <c r="O3" s="199"/>
    </row>
    <row r="4">
      <c r="A4" s="247" t="s">
        <v>311</v>
      </c>
      <c r="B4" s="248">
        <v>300.0</v>
      </c>
      <c r="D4" s="253" t="s">
        <v>312</v>
      </c>
      <c r="E4" s="61">
        <f>IF(LOWER(E3)="thca", L17, IF(LOWER(E3)="bubble hash", O20, ""))</f>
        <v>5.804845815</v>
      </c>
      <c r="G4" s="249" t="s">
        <v>315</v>
      </c>
      <c r="H4" s="260">
        <v>0.22</v>
      </c>
      <c r="K4" s="14" t="s">
        <v>10</v>
      </c>
      <c r="L4" s="16">
        <v>6810.0</v>
      </c>
      <c r="N4" s="42" t="s">
        <v>22</v>
      </c>
      <c r="O4" s="43"/>
    </row>
    <row r="5">
      <c r="A5" s="21" t="s">
        <v>317</v>
      </c>
      <c r="B5" s="264">
        <f>(B3*(1-B6))+(B4*B6)</f>
        <v>909.93</v>
      </c>
      <c r="D5" s="249" t="s">
        <v>274</v>
      </c>
      <c r="E5" s="265">
        <v>0.2</v>
      </c>
      <c r="G5" s="21" t="s">
        <v>319</v>
      </c>
      <c r="H5" s="88">
        <f>(454*(1-E5))</f>
        <v>363.2</v>
      </c>
      <c r="I5" s="21" t="s">
        <v>219</v>
      </c>
      <c r="K5" s="266" t="s">
        <v>321</v>
      </c>
      <c r="L5" s="267">
        <v>300.0</v>
      </c>
      <c r="N5" s="238" t="s">
        <v>41</v>
      </c>
      <c r="O5" s="240">
        <v>1200.0</v>
      </c>
    </row>
    <row r="6">
      <c r="A6" s="21" t="s">
        <v>328</v>
      </c>
      <c r="B6" s="268">
        <v>0.3223</v>
      </c>
      <c r="D6" s="21" t="s">
        <v>329</v>
      </c>
      <c r="E6" s="61">
        <f>E4*E5</f>
        <v>1.160969163</v>
      </c>
      <c r="G6" s="21" t="s">
        <v>330</v>
      </c>
      <c r="H6" s="271">
        <f>IF(LOWER(E3)="thca", 95%, IF(LOWER(E3)="bubble hash", 50%, ""))</f>
        <v>0.95</v>
      </c>
      <c r="K6" s="14" t="s">
        <v>28</v>
      </c>
      <c r="L6" s="32">
        <f>L5/454</f>
        <v>0.6607929515</v>
      </c>
      <c r="N6" s="238" t="s">
        <v>61</v>
      </c>
      <c r="O6" s="240">
        <v>300.0</v>
      </c>
    </row>
    <row r="7">
      <c r="A7" s="21" t="s">
        <v>334</v>
      </c>
      <c r="B7" s="275">
        <f>(B3*(1-B6))+(B4*B6)</f>
        <v>909.93</v>
      </c>
      <c r="D7" s="21" t="s">
        <v>335</v>
      </c>
      <c r="E7" s="276">
        <f>454*E5</f>
        <v>90.8</v>
      </c>
      <c r="F7" s="246" t="s">
        <v>219</v>
      </c>
      <c r="G7" s="21" t="s">
        <v>336</v>
      </c>
      <c r="H7" s="88">
        <f>454-H5</f>
        <v>90.8</v>
      </c>
      <c r="I7" s="21" t="s">
        <v>219</v>
      </c>
      <c r="K7" s="14" t="s">
        <v>40</v>
      </c>
      <c r="L7" s="32">
        <f>L6*L4</f>
        <v>4500</v>
      </c>
      <c r="N7" s="238" t="s">
        <v>67</v>
      </c>
      <c r="O7" s="241">
        <v>0.3223</v>
      </c>
    </row>
    <row r="8">
      <c r="A8" s="21" t="s">
        <v>339</v>
      </c>
      <c r="B8" s="264">
        <f>B7*(1-E5)</f>
        <v>727.944</v>
      </c>
      <c r="D8" s="21" t="s">
        <v>341</v>
      </c>
      <c r="E8" s="281">
        <f>(454*E5)*E4</f>
        <v>527.08</v>
      </c>
      <c r="K8" s="14" t="s">
        <v>48</v>
      </c>
      <c r="L8" s="32">
        <v>50.0</v>
      </c>
      <c r="N8" s="244" t="s">
        <v>72</v>
      </c>
      <c r="O8" s="245">
        <f>(O5*(1-O7))+(O6*O7)</f>
        <v>909.93</v>
      </c>
    </row>
    <row r="9">
      <c r="A9" s="284"/>
      <c r="B9" s="285" t="s">
        <v>343</v>
      </c>
      <c r="C9" s="284"/>
      <c r="D9" s="287" t="s">
        <v>345</v>
      </c>
      <c r="E9" s="291">
        <f>B8+E8</f>
        <v>1255.024</v>
      </c>
      <c r="G9" s="21" t="s">
        <v>346</v>
      </c>
      <c r="H9" s="271">
        <f>((H4*H5)+(H7*H6))/(H7+H5)</f>
        <v>0.366</v>
      </c>
      <c r="K9" s="14" t="s">
        <v>56</v>
      </c>
      <c r="L9" s="32">
        <v>13.72</v>
      </c>
      <c r="N9" s="250" t="s">
        <v>81</v>
      </c>
      <c r="O9" s="252">
        <f>O8*0.2</f>
        <v>181.986</v>
      </c>
    </row>
    <row r="10">
      <c r="K10" s="14" t="s">
        <v>70</v>
      </c>
      <c r="L10" s="32">
        <v>320.0</v>
      </c>
      <c r="N10" s="259" t="s">
        <v>10</v>
      </c>
      <c r="O10" s="262">
        <f>45*454</f>
        <v>20430</v>
      </c>
    </row>
    <row r="11" ht="19.5" customHeight="1">
      <c r="A11" s="295" t="s">
        <v>127</v>
      </c>
      <c r="B11" s="297" t="s">
        <v>353</v>
      </c>
      <c r="C11" s="298"/>
      <c r="D11" s="299" t="s">
        <v>222</v>
      </c>
      <c r="E11" s="301" t="s">
        <v>354</v>
      </c>
      <c r="K11" s="14" t="s">
        <v>78</v>
      </c>
      <c r="L11" s="32">
        <v>180.0</v>
      </c>
      <c r="N11" s="14" t="s">
        <v>92</v>
      </c>
      <c r="O11" s="32">
        <f>O9/454</f>
        <v>0.4008502203</v>
      </c>
    </row>
    <row r="12">
      <c r="A12" s="303" t="s">
        <v>359</v>
      </c>
      <c r="B12" s="304" t="s">
        <v>360</v>
      </c>
      <c r="D12" s="21" t="s">
        <v>357</v>
      </c>
      <c r="E12" s="305">
        <v>18.0</v>
      </c>
      <c r="K12" s="307" t="s">
        <v>362</v>
      </c>
      <c r="L12" s="310">
        <v>0.12</v>
      </c>
      <c r="N12" s="14" t="s">
        <v>40</v>
      </c>
      <c r="O12" s="32">
        <f>O11*O10</f>
        <v>8189.37</v>
      </c>
    </row>
    <row r="13">
      <c r="A13" s="303" t="s">
        <v>365</v>
      </c>
      <c r="B13" s="304" t="s">
        <v>366</v>
      </c>
      <c r="D13" s="21" t="s">
        <v>367</v>
      </c>
      <c r="E13" s="312" t="s">
        <v>366</v>
      </c>
      <c r="K13" s="92" t="s">
        <v>98</v>
      </c>
      <c r="L13" s="313">
        <f>L4*L12</f>
        <v>817.2</v>
      </c>
      <c r="N13" s="14" t="s">
        <v>48</v>
      </c>
      <c r="O13" s="32">
        <v>140.0</v>
      </c>
    </row>
    <row r="14">
      <c r="A14" s="303" t="s">
        <v>368</v>
      </c>
      <c r="B14" s="183">
        <v>0.003299559471365639</v>
      </c>
      <c r="D14" s="21" t="s">
        <v>369</v>
      </c>
      <c r="E14" s="312" t="s">
        <v>366</v>
      </c>
      <c r="K14" s="315" t="s">
        <v>371</v>
      </c>
      <c r="L14" s="316">
        <v>0.0737</v>
      </c>
      <c r="N14" s="14" t="s">
        <v>100</v>
      </c>
      <c r="O14" s="32">
        <v>0.735</v>
      </c>
    </row>
    <row r="15">
      <c r="A15" s="303" t="s">
        <v>374</v>
      </c>
      <c r="B15" s="46">
        <v>0.10648030495552732</v>
      </c>
      <c r="D15" s="21" t="s">
        <v>375</v>
      </c>
      <c r="E15" s="312" t="s">
        <v>366</v>
      </c>
      <c r="K15" s="315" t="s">
        <v>130</v>
      </c>
      <c r="L15" s="317">
        <f>L13*L14</f>
        <v>60.22764</v>
      </c>
      <c r="N15" s="14" t="s">
        <v>102</v>
      </c>
      <c r="O15" s="32">
        <v>40.0</v>
      </c>
    </row>
    <row r="16">
      <c r="A16" s="303" t="s">
        <v>376</v>
      </c>
      <c r="B16" s="304" t="s">
        <v>360</v>
      </c>
      <c r="D16" s="21" t="s">
        <v>377</v>
      </c>
      <c r="E16" s="312" t="s">
        <v>366</v>
      </c>
      <c r="K16" s="315" t="s">
        <v>140</v>
      </c>
      <c r="L16" s="319">
        <f>(L7+L8+L9+L11)*L14</f>
        <v>349.612164</v>
      </c>
      <c r="N16" s="296" t="s">
        <v>103</v>
      </c>
      <c r="O16" s="300">
        <v>80.0</v>
      </c>
    </row>
    <row r="17">
      <c r="A17" s="303" t="s">
        <v>382</v>
      </c>
      <c r="B17" s="304" t="s">
        <v>360</v>
      </c>
      <c r="D17" s="21" t="s">
        <v>83</v>
      </c>
      <c r="E17" s="312" t="s">
        <v>366</v>
      </c>
      <c r="K17" s="321" t="s">
        <v>383</v>
      </c>
      <c r="L17" s="319">
        <f>L16/L15</f>
        <v>5.804845815</v>
      </c>
      <c r="N17" s="306" t="s">
        <v>108</v>
      </c>
      <c r="O17" s="309">
        <v>0.15</v>
      </c>
    </row>
    <row r="18">
      <c r="A18" s="324" t="s">
        <v>86</v>
      </c>
      <c r="B18" s="325"/>
      <c r="C18" s="327"/>
      <c r="D18" s="329" t="s">
        <v>86</v>
      </c>
      <c r="E18" s="330"/>
      <c r="K18" s="331" t="s">
        <v>151</v>
      </c>
      <c r="L18" s="333">
        <f>L15*0.877</f>
        <v>52.81964028</v>
      </c>
      <c r="N18" s="81" t="s">
        <v>110</v>
      </c>
      <c r="O18" s="314">
        <f>O10*O17</f>
        <v>3064.5</v>
      </c>
    </row>
    <row r="19">
      <c r="K19" s="315" t="s">
        <v>156</v>
      </c>
      <c r="L19" s="319">
        <f>(L7+L8+L9+L11)*(L14)</f>
        <v>349.612164</v>
      </c>
      <c r="N19" s="307" t="s">
        <v>388</v>
      </c>
      <c r="O19" s="318">
        <f>O12+O13+O14+O15</f>
        <v>8370.105</v>
      </c>
    </row>
    <row r="20">
      <c r="K20" s="315" t="s">
        <v>120</v>
      </c>
      <c r="L20" s="319">
        <f>L19/L18</f>
        <v>6.618980405</v>
      </c>
      <c r="N20" s="322" t="s">
        <v>120</v>
      </c>
      <c r="O20" s="328">
        <f>O19/O18</f>
        <v>2.731311796</v>
      </c>
    </row>
    <row r="21">
      <c r="K21" s="149" t="s">
        <v>167</v>
      </c>
      <c r="L21" s="153">
        <f>100%-L14</f>
        <v>0.9263</v>
      </c>
      <c r="N21" s="332" t="s">
        <v>121</v>
      </c>
      <c r="O21" s="316">
        <v>0.81</v>
      </c>
    </row>
    <row r="22">
      <c r="A22" s="21" t="s">
        <v>392</v>
      </c>
      <c r="B22" s="21" t="s">
        <v>393</v>
      </c>
      <c r="K22" s="156" t="s">
        <v>173</v>
      </c>
      <c r="L22" s="157">
        <f>L13-L15</f>
        <v>756.97236</v>
      </c>
      <c r="N22" s="156" t="s">
        <v>126</v>
      </c>
      <c r="O22" s="157">
        <f>O18*O21</f>
        <v>2482.245</v>
      </c>
    </row>
    <row r="23">
      <c r="A23" s="21" t="s">
        <v>395</v>
      </c>
      <c r="K23" s="156" t="s">
        <v>180</v>
      </c>
      <c r="L23" s="162">
        <f>(L21*L7)+(L21*L8)+(L9*L21)+L10</f>
        <v>4547.373836</v>
      </c>
      <c r="N23" s="156" t="s">
        <v>131</v>
      </c>
      <c r="O23" s="162">
        <f>O12+O13+O14+O15+O16</f>
        <v>8450.105</v>
      </c>
    </row>
    <row r="24">
      <c r="A24" s="21" t="s">
        <v>398</v>
      </c>
      <c r="K24" s="165" t="s">
        <v>135</v>
      </c>
      <c r="L24" s="168">
        <f>L23/L22</f>
        <v>6.007318201</v>
      </c>
      <c r="N24" s="165" t="s">
        <v>135</v>
      </c>
      <c r="O24" s="168">
        <f>O23/O22</f>
        <v>3.404218762</v>
      </c>
    </row>
    <row r="25">
      <c r="A25" s="21" t="s">
        <v>402</v>
      </c>
    </row>
    <row r="26">
      <c r="A26" s="21" t="s">
        <v>403</v>
      </c>
    </row>
  </sheetData>
  <mergeCells count="3">
    <mergeCell ref="K3:L3"/>
    <mergeCell ref="N3:O3"/>
    <mergeCell ref="N4:O4"/>
  </mergeCells>
  <dataValidations>
    <dataValidation type="list" allowBlank="1" showErrorMessage="1" sqref="B11">
      <formula1>"7.0 grams,14 grams"</formula1>
    </dataValidation>
    <dataValidation type="list" allowBlank="1" showErrorMessage="1" sqref="E11">
      <formula1>"Pre Labeled,Unlabeled"</formula1>
    </dataValidation>
    <dataValidation type="list" allowBlank="1" showErrorMessage="1" sqref="E3">
      <formula1>"Bubble Hash,THCa"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8.57"/>
    <col customWidth="1" min="2" max="2" width="16.14"/>
    <col customWidth="1" min="3" max="3" width="8.14"/>
    <col customWidth="1" min="4" max="5" width="8.71"/>
    <col customWidth="1" min="6" max="6" width="12.0"/>
    <col customWidth="1" min="7" max="7" width="18.57"/>
    <col customWidth="1" min="8" max="26" width="8.71"/>
  </cols>
  <sheetData>
    <row r="1" ht="14.25" customHeight="1">
      <c r="A1" s="88" t="s">
        <v>426</v>
      </c>
      <c r="D1" s="88" t="s">
        <v>427</v>
      </c>
    </row>
    <row r="2" ht="14.25" customHeight="1">
      <c r="A2" s="88" t="s">
        <v>428</v>
      </c>
      <c r="B2" s="88" t="s">
        <v>429</v>
      </c>
      <c r="D2" s="88" t="s">
        <v>430</v>
      </c>
      <c r="F2" s="88" t="s">
        <v>431</v>
      </c>
      <c r="G2" s="88" t="s">
        <v>432</v>
      </c>
    </row>
    <row r="3" ht="14.25" customHeight="1">
      <c r="A3" s="88" t="s">
        <v>433</v>
      </c>
      <c r="D3" s="88" t="s">
        <v>434</v>
      </c>
      <c r="F3" s="88" t="s">
        <v>435</v>
      </c>
      <c r="G3" s="88" t="s">
        <v>436</v>
      </c>
      <c r="H3" s="88" t="s">
        <v>437</v>
      </c>
    </row>
    <row r="4" ht="14.25" customHeight="1">
      <c r="B4" s="88" t="s">
        <v>438</v>
      </c>
      <c r="C4" s="88" t="s">
        <v>439</v>
      </c>
      <c r="D4" s="88" t="s">
        <v>440</v>
      </c>
      <c r="F4" s="88" t="s">
        <v>441</v>
      </c>
      <c r="G4" s="88" t="s">
        <v>442</v>
      </c>
      <c r="H4" s="88" t="s">
        <v>443</v>
      </c>
    </row>
    <row r="5" ht="14.25" customHeight="1">
      <c r="B5" s="88" t="s">
        <v>445</v>
      </c>
      <c r="C5" s="88" t="s">
        <v>439</v>
      </c>
      <c r="D5" s="88" t="s">
        <v>49</v>
      </c>
      <c r="F5" s="88" t="s">
        <v>446</v>
      </c>
      <c r="G5" s="88" t="s">
        <v>447</v>
      </c>
      <c r="H5" s="88" t="s">
        <v>448</v>
      </c>
    </row>
    <row r="6" ht="14.25" customHeight="1">
      <c r="B6" s="88" t="s">
        <v>449</v>
      </c>
      <c r="C6" s="88" t="s">
        <v>439</v>
      </c>
      <c r="D6" s="88" t="s">
        <v>450</v>
      </c>
      <c r="G6" s="88" t="s">
        <v>451</v>
      </c>
      <c r="H6" s="88" t="s">
        <v>452</v>
      </c>
    </row>
    <row r="7" ht="14.25" customHeight="1">
      <c r="B7" s="88" t="s">
        <v>453</v>
      </c>
      <c r="C7" s="88" t="s">
        <v>439</v>
      </c>
      <c r="D7" s="88" t="s">
        <v>454</v>
      </c>
      <c r="F7" s="88" t="s">
        <v>455</v>
      </c>
      <c r="G7" s="354"/>
    </row>
    <row r="8" ht="14.25" customHeight="1">
      <c r="B8" s="88" t="s">
        <v>457</v>
      </c>
      <c r="C8" s="88" t="s">
        <v>439</v>
      </c>
      <c r="F8" s="88" t="s">
        <v>458</v>
      </c>
    </row>
    <row r="9" ht="14.25" customHeight="1">
      <c r="B9" s="88" t="s">
        <v>459</v>
      </c>
      <c r="C9" s="88" t="s">
        <v>439</v>
      </c>
    </row>
    <row r="10" ht="14.25" customHeight="1"/>
    <row r="11" ht="14.25" customHeight="1"/>
    <row r="12" ht="14.25" customHeight="1">
      <c r="A12" s="88" t="s">
        <v>460</v>
      </c>
    </row>
    <row r="13" ht="14.25" customHeight="1">
      <c r="A13" s="88" t="s">
        <v>461</v>
      </c>
    </row>
    <row r="14" ht="14.25" customHeight="1">
      <c r="A14" s="88" t="s">
        <v>462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32.57"/>
    <col customWidth="1" min="2" max="2" width="14.57"/>
    <col customWidth="1" min="3" max="3" width="10.14"/>
    <col customWidth="1" min="4" max="4" width="26.14"/>
    <col customWidth="1" min="5" max="5" width="9.86"/>
    <col customWidth="1" min="6" max="6" width="8.71"/>
    <col customWidth="1" min="7" max="7" width="26.86"/>
    <col customWidth="1" min="8" max="8" width="9.86"/>
    <col customWidth="1" min="9" max="26" width="8.71"/>
  </cols>
  <sheetData>
    <row r="1" ht="14.25" customHeight="1">
      <c r="A1" s="6" t="s">
        <v>472</v>
      </c>
    </row>
    <row r="2" ht="14.25" customHeight="1">
      <c r="A2" s="12" t="s">
        <v>473</v>
      </c>
      <c r="B2" s="142">
        <f>B7*B21</f>
        <v>43584</v>
      </c>
      <c r="C2" s="12" t="s">
        <v>219</v>
      </c>
      <c r="D2" s="211">
        <f>B2*5</f>
        <v>217920</v>
      </c>
      <c r="E2" s="88" t="s">
        <v>474</v>
      </c>
    </row>
    <row r="3" ht="14.25" customHeight="1">
      <c r="A3" s="25" t="s">
        <v>475</v>
      </c>
      <c r="B3" s="273">
        <v>1.0</v>
      </c>
      <c r="C3" s="25" t="s">
        <v>476</v>
      </c>
      <c r="G3" s="6" t="s">
        <v>477</v>
      </c>
    </row>
    <row r="4" ht="14.25" customHeight="1">
      <c r="A4" s="25" t="s">
        <v>479</v>
      </c>
      <c r="B4" s="358">
        <v>0.67</v>
      </c>
      <c r="C4" s="25" t="s">
        <v>57</v>
      </c>
      <c r="D4" s="354" t="s">
        <v>480</v>
      </c>
      <c r="G4" s="88" t="s">
        <v>481</v>
      </c>
      <c r="H4" s="359">
        <f>(B2*B4)</f>
        <v>29201.28</v>
      </c>
    </row>
    <row r="5" ht="14.25" customHeight="1">
      <c r="A5" s="25" t="s">
        <v>482</v>
      </c>
      <c r="B5" s="360">
        <v>4.0</v>
      </c>
      <c r="C5" s="25" t="s">
        <v>57</v>
      </c>
      <c r="G5" s="88" t="s">
        <v>483</v>
      </c>
      <c r="H5" s="359">
        <f>B16*B14</f>
        <v>400</v>
      </c>
    </row>
    <row r="6" ht="14.25" customHeight="1">
      <c r="A6" s="25" t="s">
        <v>484</v>
      </c>
      <c r="B6" s="361">
        <v>0.14</v>
      </c>
      <c r="C6" s="25" t="s">
        <v>485</v>
      </c>
      <c r="G6" s="88" t="s">
        <v>486</v>
      </c>
      <c r="H6" s="359">
        <f>(B13*B21)*B12</f>
        <v>24</v>
      </c>
    </row>
    <row r="7" ht="14.25" customHeight="1">
      <c r="A7" s="25" t="s">
        <v>490</v>
      </c>
      <c r="B7" s="363">
        <f>20*454</f>
        <v>9080</v>
      </c>
      <c r="C7" s="25" t="s">
        <v>219</v>
      </c>
      <c r="G7" s="88" t="s">
        <v>494</v>
      </c>
      <c r="H7" s="359">
        <f>H4+H5+H6</f>
        <v>29625.28</v>
      </c>
    </row>
    <row r="8" ht="14.25" customHeight="1">
      <c r="A8" s="25" t="s">
        <v>495</v>
      </c>
      <c r="B8" s="364">
        <v>7.0</v>
      </c>
      <c r="C8" s="25" t="s">
        <v>496</v>
      </c>
    </row>
    <row r="9" ht="14.25" customHeight="1">
      <c r="A9" s="25" t="s">
        <v>497</v>
      </c>
      <c r="B9" s="85">
        <v>1.0</v>
      </c>
      <c r="C9" s="25" t="s">
        <v>498</v>
      </c>
      <c r="H9" s="211"/>
    </row>
    <row r="10" ht="14.25" customHeight="1">
      <c r="A10" s="25" t="s">
        <v>499</v>
      </c>
      <c r="B10" s="25">
        <v>2500.0</v>
      </c>
      <c r="C10" s="25" t="s">
        <v>500</v>
      </c>
      <c r="H10" s="211"/>
      <c r="I10" s="365"/>
    </row>
    <row r="11" ht="14.25" customHeight="1">
      <c r="A11" s="25" t="s">
        <v>501</v>
      </c>
      <c r="B11" s="85">
        <v>0.6</v>
      </c>
      <c r="C11" s="25" t="s">
        <v>485</v>
      </c>
      <c r="H11" s="211"/>
    </row>
    <row r="12" ht="14.25" customHeight="1">
      <c r="A12" s="25" t="s">
        <v>502</v>
      </c>
      <c r="B12" s="48">
        <v>5.0</v>
      </c>
      <c r="C12" s="25" t="s">
        <v>145</v>
      </c>
      <c r="D12" s="354" t="s">
        <v>503</v>
      </c>
    </row>
    <row r="13" ht="14.25" customHeight="1">
      <c r="A13" s="25" t="s">
        <v>504</v>
      </c>
      <c r="B13" s="25">
        <v>1.0</v>
      </c>
      <c r="C13" s="25" t="s">
        <v>505</v>
      </c>
    </row>
    <row r="14" ht="14.25" customHeight="1">
      <c r="A14" s="25" t="s">
        <v>506</v>
      </c>
      <c r="B14" s="48">
        <v>50.0</v>
      </c>
      <c r="C14" s="25" t="s">
        <v>507</v>
      </c>
    </row>
    <row r="15" ht="14.25" customHeight="1">
      <c r="A15" s="25" t="s">
        <v>508</v>
      </c>
      <c r="B15" s="25">
        <v>250.0</v>
      </c>
      <c r="C15" s="25" t="s">
        <v>510</v>
      </c>
    </row>
    <row r="16" ht="14.25" customHeight="1">
      <c r="A16" s="25" t="s">
        <v>511</v>
      </c>
      <c r="B16" s="25">
        <v>8.0</v>
      </c>
      <c r="C16" s="25" t="s">
        <v>512</v>
      </c>
    </row>
    <row r="17" ht="14.25" customHeight="1">
      <c r="A17" s="366" t="s">
        <v>513</v>
      </c>
      <c r="B17" s="366">
        <v>2.0</v>
      </c>
      <c r="C17" s="366" t="s">
        <v>514</v>
      </c>
    </row>
    <row r="18" ht="14.25" customHeight="1">
      <c r="A18" s="6" t="s">
        <v>515</v>
      </c>
      <c r="G18" s="88" t="s">
        <v>516</v>
      </c>
      <c r="H18" s="88">
        <v>2.0</v>
      </c>
      <c r="I18" s="88" t="s">
        <v>155</v>
      </c>
    </row>
    <row r="19" ht="14.25" customHeight="1">
      <c r="A19" s="88" t="s">
        <v>518</v>
      </c>
      <c r="B19" s="367">
        <v>1.25</v>
      </c>
      <c r="C19" s="88" t="s">
        <v>162</v>
      </c>
      <c r="G19" s="88" t="s">
        <v>519</v>
      </c>
      <c r="H19" s="88">
        <v>8.0</v>
      </c>
      <c r="I19" s="88" t="s">
        <v>520</v>
      </c>
    </row>
    <row r="20" ht="14.25" customHeight="1">
      <c r="A20" s="88" t="s">
        <v>521</v>
      </c>
      <c r="B20" s="78">
        <f>B16-B17</f>
        <v>6</v>
      </c>
      <c r="C20" s="88" t="s">
        <v>76</v>
      </c>
      <c r="G20" s="88" t="s">
        <v>522</v>
      </c>
      <c r="H20" s="88">
        <v>40.0</v>
      </c>
      <c r="I20" s="88" t="s">
        <v>523</v>
      </c>
    </row>
    <row r="21" ht="14.25" customHeight="1">
      <c r="A21" s="88" t="s">
        <v>524</v>
      </c>
      <c r="B21" s="78">
        <f>B20/B19</f>
        <v>4.8</v>
      </c>
      <c r="C21" s="88" t="s">
        <v>88</v>
      </c>
      <c r="G21" s="88" t="s">
        <v>526</v>
      </c>
      <c r="H21" s="88">
        <f>H18*H20</f>
        <v>80</v>
      </c>
    </row>
    <row r="22" ht="14.25" customHeight="1">
      <c r="A22" s="88" t="s">
        <v>527</v>
      </c>
      <c r="B22" s="142">
        <f>B2*(B6*B3)</f>
        <v>6101.76</v>
      </c>
      <c r="C22" s="88" t="s">
        <v>528</v>
      </c>
      <c r="H22" s="88" t="s">
        <v>529</v>
      </c>
    </row>
    <row r="23" ht="14.25" customHeight="1">
      <c r="A23" s="88" t="s">
        <v>530</v>
      </c>
      <c r="B23" s="142">
        <f>B22*250</f>
        <v>1525440</v>
      </c>
      <c r="C23" s="88" t="s">
        <v>532</v>
      </c>
    </row>
    <row r="24" ht="14.25" customHeight="1"/>
    <row r="25" ht="14.25" customHeight="1"/>
    <row r="26" ht="14.25" customHeight="1">
      <c r="A26" s="6" t="s">
        <v>533</v>
      </c>
    </row>
    <row r="27" ht="14.25" customHeight="1">
      <c r="A27" s="88" t="s">
        <v>534</v>
      </c>
      <c r="B27" s="26">
        <f>((B4*B2)+(B14*B16)+((B13*B21)*B12))/B22</f>
        <v>4.855202433</v>
      </c>
      <c r="C27" s="88" t="s">
        <v>535</v>
      </c>
      <c r="D27" s="8"/>
    </row>
    <row r="28" ht="14.25" customHeight="1">
      <c r="A28" s="88" t="s">
        <v>536</v>
      </c>
      <c r="B28" s="23">
        <f>B5*B22</f>
        <v>24407.04</v>
      </c>
      <c r="C28" s="88" t="s">
        <v>537</v>
      </c>
    </row>
    <row r="29" ht="14.25" customHeight="1">
      <c r="A29" s="88" t="s">
        <v>538</v>
      </c>
      <c r="B29" s="23">
        <f>B28-(B27*B22)</f>
        <v>-5218.24</v>
      </c>
      <c r="C29" s="88" t="s">
        <v>539</v>
      </c>
    </row>
    <row r="30" ht="14.25" customHeight="1">
      <c r="A30" s="88" t="s">
        <v>170</v>
      </c>
      <c r="B30" s="45">
        <f>(B28-(B27*B22))/B28</f>
        <v>-0.2138006083</v>
      </c>
    </row>
    <row r="31" ht="14.25" customHeight="1"/>
    <row r="32" ht="14.25" customHeight="1">
      <c r="A32" s="371" t="s">
        <v>540</v>
      </c>
      <c r="E32" s="372"/>
    </row>
    <row r="33" ht="14.25" customHeight="1">
      <c r="A33" s="88" t="s">
        <v>541</v>
      </c>
      <c r="B33" s="142">
        <f>(B9*B22)</f>
        <v>6101.76</v>
      </c>
      <c r="C33" s="88" t="s">
        <v>77</v>
      </c>
    </row>
    <row r="34" ht="14.25" customHeight="1">
      <c r="A34" s="88" t="s">
        <v>543</v>
      </c>
      <c r="B34" s="142">
        <f>(B33*B9)*B11</f>
        <v>3661.056</v>
      </c>
      <c r="C34" s="88" t="s">
        <v>544</v>
      </c>
    </row>
    <row r="35" ht="14.25" customHeight="1">
      <c r="A35" s="88" t="s">
        <v>545</v>
      </c>
      <c r="B35" s="142">
        <f>B33/B10</f>
        <v>2.440704</v>
      </c>
      <c r="C35" s="88" t="s">
        <v>546</v>
      </c>
    </row>
    <row r="36" ht="14.25" customHeight="1">
      <c r="A36" s="88" t="s">
        <v>534</v>
      </c>
      <c r="B36" s="26">
        <f>(((B14*B16)+(B35*B14))/B34)+B27</f>
        <v>4.997793861</v>
      </c>
      <c r="C36" s="88" t="s">
        <v>496</v>
      </c>
      <c r="D36" s="374" t="s">
        <v>547</v>
      </c>
    </row>
    <row r="37" ht="14.25" customHeight="1">
      <c r="A37" s="88" t="s">
        <v>536</v>
      </c>
      <c r="B37" s="26">
        <f>B34*B8</f>
        <v>25627.392</v>
      </c>
      <c r="C37" s="88" t="s">
        <v>548</v>
      </c>
    </row>
    <row r="38" ht="14.25" customHeight="1">
      <c r="A38" s="88" t="s">
        <v>549</v>
      </c>
      <c r="B38" s="26">
        <f>B37-(B36*B34)</f>
        <v>7330.1888</v>
      </c>
      <c r="C38" s="88" t="s">
        <v>548</v>
      </c>
    </row>
    <row r="39" ht="14.25" customHeight="1">
      <c r="A39" s="88" t="s">
        <v>170</v>
      </c>
      <c r="B39" s="45">
        <f>(B37-(B36*B34))/B37</f>
        <v>0.2860294485</v>
      </c>
    </row>
    <row r="40" ht="14.25" customHeight="1"/>
    <row r="41" ht="14.25" customHeight="1">
      <c r="A41" s="6" t="s">
        <v>552</v>
      </c>
      <c r="B41" s="142">
        <f>B34*B15</f>
        <v>915264</v>
      </c>
      <c r="C41" s="88" t="s">
        <v>554</v>
      </c>
    </row>
    <row r="42" ht="14.25" customHeight="1">
      <c r="A42" s="6" t="s">
        <v>555</v>
      </c>
      <c r="B42" s="26">
        <f>B36*B41</f>
        <v>4574300.8</v>
      </c>
      <c r="C42" s="88" t="s">
        <v>556</v>
      </c>
    </row>
    <row r="43" ht="14.25" customHeight="1">
      <c r="A43" s="6" t="s">
        <v>557</v>
      </c>
      <c r="B43" s="26">
        <f>B41*B8</f>
        <v>6406848</v>
      </c>
      <c r="C43" s="88" t="s">
        <v>556</v>
      </c>
    </row>
    <row r="44" ht="14.25" customHeight="1">
      <c r="A44" s="6" t="s">
        <v>559</v>
      </c>
      <c r="B44" s="26">
        <f>(B43-B42)</f>
        <v>1832547.2</v>
      </c>
      <c r="C44" s="88" t="s">
        <v>556</v>
      </c>
    </row>
    <row r="45" ht="14.25" customHeight="1">
      <c r="A45" s="6" t="s">
        <v>560</v>
      </c>
      <c r="B45" s="45">
        <f>B44/B43</f>
        <v>0.2860294485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36:G36"/>
  </mergeCells>
  <printOptions/>
  <pageMargins bottom="0.75" footer="0.0" header="0.0" left="0.7" right="0.7" top="0.75"/>
  <pageSetup orientation="portrait"/>
  <drawing r:id="rId1"/>
</worksheet>
</file>